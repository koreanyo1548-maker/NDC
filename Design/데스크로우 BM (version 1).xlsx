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onextall\Documents\death-crow\Design\"/>
    </mc:Choice>
  </mc:AlternateContent>
  <bookViews>
    <workbookView xWindow="-105" yWindow="-105" windowWidth="23250" windowHeight="12570"/>
  </bookViews>
  <sheets>
    <sheet name="BM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I16" i="1" s="1"/>
  <c r="H17" i="1"/>
  <c r="H18" i="1"/>
  <c r="I18" i="1" s="1"/>
  <c r="H19" i="1"/>
  <c r="I19" i="1" s="1"/>
  <c r="I17" i="1"/>
  <c r="H15" i="1"/>
  <c r="I15" i="1" s="1"/>
  <c r="H14" i="1"/>
  <c r="I14" i="1" s="1"/>
</calcChain>
</file>

<file path=xl/sharedStrings.xml><?xml version="1.0" encoding="utf-8"?>
<sst xmlns="http://schemas.openxmlformats.org/spreadsheetml/2006/main" count="239" uniqueCount="171">
  <si>
    <t>가격</t>
    <phoneticPr fontId="1" type="noConversion"/>
  </si>
  <si>
    <t>내용</t>
    <phoneticPr fontId="1" type="noConversion"/>
  </si>
  <si>
    <t>이름</t>
    <phoneticPr fontId="1" type="noConversion"/>
  </si>
  <si>
    <t>다이아 패키지1</t>
    <phoneticPr fontId="1" type="noConversion"/>
  </si>
  <si>
    <t>다이아 패키지2</t>
    <phoneticPr fontId="1" type="noConversion"/>
  </si>
  <si>
    <t>다이아 패키지3</t>
  </si>
  <si>
    <t>다이아 패키지4</t>
    <phoneticPr fontId="1" type="noConversion"/>
  </si>
  <si>
    <t>다이아 패키지5</t>
    <phoneticPr fontId="1" type="noConversion"/>
  </si>
  <si>
    <t>다이아 패키지6</t>
    <phoneticPr fontId="1" type="noConversion"/>
  </si>
  <si>
    <t>다이아 1,000개 지급</t>
    <phoneticPr fontId="1" type="noConversion"/>
  </si>
  <si>
    <t>다이아 3,000개 지급</t>
    <phoneticPr fontId="1" type="noConversion"/>
  </si>
  <si>
    <t>다이아 5,000개 지급</t>
    <phoneticPr fontId="1" type="noConversion"/>
  </si>
  <si>
    <t>다이아 9,000개 지급</t>
    <phoneticPr fontId="1" type="noConversion"/>
  </si>
  <si>
    <t>마일리지 적립</t>
    <phoneticPr fontId="1" type="noConversion"/>
  </si>
  <si>
    <t>1+1 여부</t>
    <phoneticPr fontId="1" type="noConversion"/>
  </si>
  <si>
    <t>O</t>
    <phoneticPr fontId="1" type="noConversion"/>
  </si>
  <si>
    <t>X</t>
    <phoneticPr fontId="1" type="noConversion"/>
  </si>
  <si>
    <t>다이아 1,000</t>
    <phoneticPr fontId="1" type="noConversion"/>
  </si>
  <si>
    <t>다이아 3,000</t>
    <phoneticPr fontId="1" type="noConversion"/>
  </si>
  <si>
    <t>다이아 5,000</t>
    <phoneticPr fontId="1" type="noConversion"/>
  </si>
  <si>
    <t>다이아 9,000</t>
    <phoneticPr fontId="1" type="noConversion"/>
  </si>
  <si>
    <t>가치</t>
    <phoneticPr fontId="1" type="noConversion"/>
  </si>
  <si>
    <t xml:space="preserve">다이아 </t>
    <phoneticPr fontId="1" type="noConversion"/>
  </si>
  <si>
    <t>1원</t>
    <phoneticPr fontId="1" type="noConversion"/>
  </si>
  <si>
    <t>강화석</t>
    <phoneticPr fontId="1" type="noConversion"/>
  </si>
  <si>
    <t>5원</t>
    <phoneticPr fontId="1" type="noConversion"/>
  </si>
  <si>
    <t>실제가치</t>
    <phoneticPr fontId="1" type="noConversion"/>
  </si>
  <si>
    <t>할인</t>
    <phoneticPr fontId="1" type="noConversion"/>
  </si>
  <si>
    <t>기본 재화 상품</t>
    <phoneticPr fontId="1" type="noConversion"/>
  </si>
  <si>
    <t>패키지 상품</t>
    <phoneticPr fontId="1" type="noConversion"/>
  </si>
  <si>
    <t>할인폭</t>
    <phoneticPr fontId="1" type="noConversion"/>
  </si>
  <si>
    <t>다이아 11,000</t>
    <phoneticPr fontId="1" type="noConversion"/>
  </si>
  <si>
    <t>다이아 11,000개 지급</t>
    <phoneticPr fontId="1" type="noConversion"/>
  </si>
  <si>
    <t>다이아 33,000</t>
    <phoneticPr fontId="1" type="noConversion"/>
  </si>
  <si>
    <t>다이아 33,000개 지급</t>
    <phoneticPr fontId="1" type="noConversion"/>
  </si>
  <si>
    <t>다이아 55,000개 지급</t>
    <phoneticPr fontId="1" type="noConversion"/>
  </si>
  <si>
    <t>다이아 55,000</t>
    <phoneticPr fontId="1" type="noConversion"/>
  </si>
  <si>
    <t>다이아 7,000개 + 강화석 3,000개 지급</t>
    <phoneticPr fontId="1" type="noConversion"/>
  </si>
  <si>
    <t>다이아 20,000개 + 강화석 5,000개 지급</t>
    <phoneticPr fontId="1" type="noConversion"/>
  </si>
  <si>
    <t>1SET</t>
    <phoneticPr fontId="1" type="noConversion"/>
  </si>
  <si>
    <t>다이아 120,000개 + 강화석 29,000개 지급</t>
    <phoneticPr fontId="1" type="noConversion"/>
  </si>
  <si>
    <t>다이아 98,000개 + 강화석 19,000개 지급</t>
    <phoneticPr fontId="1" type="noConversion"/>
  </si>
  <si>
    <t>패스상품</t>
    <phoneticPr fontId="1" type="noConversion"/>
  </si>
  <si>
    <t>다이아 56,000개 + 강화석 12,000개 지급</t>
    <phoneticPr fontId="1" type="noConversion"/>
  </si>
  <si>
    <t>다이아 28,000개 + 강화석 8,000개 지급</t>
    <phoneticPr fontId="1" type="noConversion"/>
  </si>
  <si>
    <t>다이아</t>
    <phoneticPr fontId="1" type="noConversion"/>
  </si>
  <si>
    <t>단일 재화</t>
    <phoneticPr fontId="1" type="noConversion"/>
  </si>
  <si>
    <t>패키지</t>
    <phoneticPr fontId="1" type="noConversion"/>
  </si>
  <si>
    <t>패스</t>
    <phoneticPr fontId="1" type="noConversion"/>
  </si>
  <si>
    <t>레벨 패스</t>
    <phoneticPr fontId="1" type="noConversion"/>
  </si>
  <si>
    <t>스테이지 패스</t>
    <phoneticPr fontId="1" type="noConversion"/>
  </si>
  <si>
    <t>광고제거</t>
    <phoneticPr fontId="1" type="noConversion"/>
  </si>
  <si>
    <t>무기 강화석</t>
    <phoneticPr fontId="1" type="noConversion"/>
  </si>
  <si>
    <t>장신구 강화석</t>
    <phoneticPr fontId="1" type="noConversion"/>
  </si>
  <si>
    <t>각성석</t>
    <phoneticPr fontId="1" type="noConversion"/>
  </si>
  <si>
    <t>구분</t>
    <phoneticPr fontId="1" type="noConversion"/>
  </si>
  <si>
    <t>다이아</t>
    <phoneticPr fontId="1" type="noConversion"/>
  </si>
  <si>
    <t>내용</t>
    <phoneticPr fontId="1" type="noConversion"/>
  </si>
  <si>
    <t>마일리지 적립</t>
    <phoneticPr fontId="1" type="noConversion"/>
  </si>
  <si>
    <t>1+1 여부</t>
    <phoneticPr fontId="1" type="noConversion"/>
  </si>
  <si>
    <t>실제 가치</t>
    <phoneticPr fontId="1" type="noConversion"/>
  </si>
  <si>
    <t>코스튬</t>
    <phoneticPr fontId="1" type="noConversion"/>
  </si>
  <si>
    <t>무기</t>
    <phoneticPr fontId="1" type="noConversion"/>
  </si>
  <si>
    <t>의복</t>
    <phoneticPr fontId="1" type="noConversion"/>
  </si>
  <si>
    <t>마일리지샵</t>
    <phoneticPr fontId="1" type="noConversion"/>
  </si>
  <si>
    <t>2차 상품</t>
    <phoneticPr fontId="1" type="noConversion"/>
  </si>
  <si>
    <t>무기 강화석</t>
    <phoneticPr fontId="1" type="noConversion"/>
  </si>
  <si>
    <t>입장권</t>
    <phoneticPr fontId="1" type="noConversion"/>
  </si>
  <si>
    <t>명칭</t>
    <phoneticPr fontId="1" type="noConversion"/>
  </si>
  <si>
    <t>소모 재화</t>
    <phoneticPr fontId="1" type="noConversion"/>
  </si>
  <si>
    <t>비고</t>
    <phoneticPr fontId="1" type="noConversion"/>
  </si>
  <si>
    <t>마일리지 코스튬</t>
    <phoneticPr fontId="1" type="noConversion"/>
  </si>
  <si>
    <t>O</t>
    <phoneticPr fontId="1" type="noConversion"/>
  </si>
  <si>
    <t>* 1+1은 최초 1회만 적용</t>
    <phoneticPr fontId="1" type="noConversion"/>
  </si>
  <si>
    <t>* 다이아 / 현금 가치 1:1</t>
    <phoneticPr fontId="1" type="noConversion"/>
  </si>
  <si>
    <t>다이아 10,000</t>
    <phoneticPr fontId="1" type="noConversion"/>
  </si>
  <si>
    <t>다이아 30,000</t>
    <phoneticPr fontId="1" type="noConversion"/>
  </si>
  <si>
    <t>다이아 50,000</t>
    <phoneticPr fontId="1" type="noConversion"/>
  </si>
  <si>
    <t>다이아 100,000</t>
    <phoneticPr fontId="1" type="noConversion"/>
  </si>
  <si>
    <t>다이아 3,000개 획득</t>
    <phoneticPr fontId="1" type="noConversion"/>
  </si>
  <si>
    <t>다이아 5,000개 획득</t>
    <phoneticPr fontId="1" type="noConversion"/>
  </si>
  <si>
    <t>다이아 10,000개 획득</t>
    <phoneticPr fontId="1" type="noConversion"/>
  </si>
  <si>
    <t>다이아 30,000개 획득</t>
    <phoneticPr fontId="1" type="noConversion"/>
  </si>
  <si>
    <t>다이아 50,000개 획득</t>
    <phoneticPr fontId="1" type="noConversion"/>
  </si>
  <si>
    <t>다이아 100,000개 획득</t>
    <phoneticPr fontId="1" type="noConversion"/>
  </si>
  <si>
    <t>-</t>
    <phoneticPr fontId="1" type="noConversion"/>
  </si>
  <si>
    <t>가격(원)</t>
    <phoneticPr fontId="1" type="noConversion"/>
  </si>
  <si>
    <t>영혼 정화 패스</t>
    <phoneticPr fontId="1" type="noConversion"/>
  </si>
  <si>
    <t>사냥 수에 따른 누적 포인트 획득</t>
    <phoneticPr fontId="1" type="noConversion"/>
  </si>
  <si>
    <t>X</t>
    <phoneticPr fontId="1" type="noConversion"/>
  </si>
  <si>
    <t>레벨 패스1</t>
    <phoneticPr fontId="1" type="noConversion"/>
  </si>
  <si>
    <t>레벨 패스2</t>
    <phoneticPr fontId="1" type="noConversion"/>
  </si>
  <si>
    <t>레벨 패스3</t>
    <phoneticPr fontId="1" type="noConversion"/>
  </si>
  <si>
    <t>스테이지 패스1</t>
    <phoneticPr fontId="1" type="noConversion"/>
  </si>
  <si>
    <t>스테이지 패스2</t>
    <phoneticPr fontId="1" type="noConversion"/>
  </si>
  <si>
    <t>스테이지 패스3</t>
    <phoneticPr fontId="1" type="noConversion"/>
  </si>
  <si>
    <t>영혼 정화 패스</t>
    <phoneticPr fontId="1" type="noConversion"/>
  </si>
  <si>
    <t>이벤트 패스</t>
    <phoneticPr fontId="1" type="noConversion"/>
  </si>
  <si>
    <t>이벤트 패스</t>
    <phoneticPr fontId="1" type="noConversion"/>
  </si>
  <si>
    <t>레벨 10~200</t>
    <phoneticPr fontId="1" type="noConversion"/>
  </si>
  <si>
    <t>레벨 210~600</t>
    <phoneticPr fontId="1" type="noConversion"/>
  </si>
  <si>
    <t>레벨 610~1,000</t>
    <phoneticPr fontId="1" type="noConversion"/>
  </si>
  <si>
    <t>광고제거 패키지</t>
    <phoneticPr fontId="1" type="noConversion"/>
  </si>
  <si>
    <t>다이아/강화석/각성석</t>
    <phoneticPr fontId="1" type="noConversion"/>
  </si>
  <si>
    <t>입장권 패키지</t>
    <phoneticPr fontId="1" type="noConversion"/>
  </si>
  <si>
    <t>무기 강화석 10,000</t>
    <phoneticPr fontId="1" type="noConversion"/>
  </si>
  <si>
    <t>장신구 강화석 10,000</t>
    <phoneticPr fontId="1" type="noConversion"/>
  </si>
  <si>
    <t>무기 강화석 600개 획득</t>
    <phoneticPr fontId="1" type="noConversion"/>
  </si>
  <si>
    <t>무기 강화석 1,000개 획득</t>
    <phoneticPr fontId="1" type="noConversion"/>
  </si>
  <si>
    <t>무기 강화석 2,000개 획득</t>
    <phoneticPr fontId="1" type="noConversion"/>
  </si>
  <si>
    <t>무기 강화석 600</t>
    <phoneticPr fontId="1" type="noConversion"/>
  </si>
  <si>
    <t>무기 강화석 1,000</t>
    <phoneticPr fontId="1" type="noConversion"/>
  </si>
  <si>
    <t>무기 강화석 2,000</t>
    <phoneticPr fontId="1" type="noConversion"/>
  </si>
  <si>
    <t>무기 강화석 6,000개 획득</t>
    <phoneticPr fontId="1" type="noConversion"/>
  </si>
  <si>
    <t>무기 강화석 10,000개 획득</t>
    <phoneticPr fontId="1" type="noConversion"/>
  </si>
  <si>
    <t>무기 강화석 40,000개 획득</t>
    <phoneticPr fontId="1" type="noConversion"/>
  </si>
  <si>
    <t>무기 강화석 6,000</t>
    <phoneticPr fontId="1" type="noConversion"/>
  </si>
  <si>
    <t>무기 강화석 40,000</t>
    <phoneticPr fontId="1" type="noConversion"/>
  </si>
  <si>
    <t>장신구 강화석 600개 획득</t>
    <phoneticPr fontId="1" type="noConversion"/>
  </si>
  <si>
    <t>장신구 강화석 1,000개 획득</t>
    <phoneticPr fontId="1" type="noConversion"/>
  </si>
  <si>
    <t>장신구 강화석 2,000개 획득</t>
    <phoneticPr fontId="1" type="noConversion"/>
  </si>
  <si>
    <t>장신구 강화석 6,000개 획득</t>
    <phoneticPr fontId="1" type="noConversion"/>
  </si>
  <si>
    <t>장신구 강화석 10,000개 획득</t>
    <phoneticPr fontId="1" type="noConversion"/>
  </si>
  <si>
    <t>장신구 강화석 40,000개 획득</t>
    <phoneticPr fontId="1" type="noConversion"/>
  </si>
  <si>
    <t>장신구 강화석 600</t>
    <phoneticPr fontId="1" type="noConversion"/>
  </si>
  <si>
    <t>장신구 강화석 1,000</t>
    <phoneticPr fontId="1" type="noConversion"/>
  </si>
  <si>
    <t>장신구 강화석 2,000</t>
    <phoneticPr fontId="1" type="noConversion"/>
  </si>
  <si>
    <t>장신구 강화석 6,000</t>
    <phoneticPr fontId="1" type="noConversion"/>
  </si>
  <si>
    <t>미궁 탐험가 패키지</t>
    <phoneticPr fontId="1" type="noConversion"/>
  </si>
  <si>
    <t>성장의 달인 패키지</t>
    <phoneticPr fontId="1" type="noConversion"/>
  </si>
  <si>
    <t>초급/중급/고급 패키지</t>
    <phoneticPr fontId="1" type="noConversion"/>
  </si>
  <si>
    <t>전설 스킬 패키지</t>
    <phoneticPr fontId="1" type="noConversion"/>
  </si>
  <si>
    <t>전설 장비 패키지</t>
    <phoneticPr fontId="1" type="noConversion"/>
  </si>
  <si>
    <t>무기/스킬 패키지</t>
    <phoneticPr fontId="1" type="noConversion"/>
  </si>
  <si>
    <t>장신구 강화석 40,000</t>
    <phoneticPr fontId="1" type="noConversion"/>
  </si>
  <si>
    <t>스킬 강화석</t>
    <phoneticPr fontId="1" type="noConversion"/>
  </si>
  <si>
    <t>스킬 강화석 1,000</t>
  </si>
  <si>
    <t>스킬 강화석 1,000개 획득</t>
  </si>
  <si>
    <t>스킬 강화석 300</t>
  </si>
  <si>
    <t>스킬 강화석 300개 획득</t>
  </si>
  <si>
    <t>스킬 강화석 500</t>
  </si>
  <si>
    <t>스킬 강화석 500개 획득</t>
  </si>
  <si>
    <t>스킬 강화석 3,000</t>
  </si>
  <si>
    <t>스킬 강화석 3,000개 획득</t>
  </si>
  <si>
    <t>스킬 강화석 5,000</t>
  </si>
  <si>
    <t>스킬 강화석 5,000개 획득</t>
  </si>
  <si>
    <t>스킬 강화석 20,000</t>
  </si>
  <si>
    <t>스킬 강화석 20,000개 획득</t>
  </si>
  <si>
    <t>1회만 구매가능</t>
    <phoneticPr fontId="1" type="noConversion"/>
  </si>
  <si>
    <t>사원 상자</t>
    <phoneticPr fontId="1" type="noConversion"/>
  </si>
  <si>
    <t>대리 상자</t>
    <phoneticPr fontId="1" type="noConversion"/>
  </si>
  <si>
    <t>과장 상자</t>
    <phoneticPr fontId="1" type="noConversion"/>
  </si>
  <si>
    <t>부장 상자</t>
    <phoneticPr fontId="1" type="noConversion"/>
  </si>
  <si>
    <t>CEO 상자</t>
    <phoneticPr fontId="1" type="noConversion"/>
  </si>
  <si>
    <t>영웅1 장비 1, 다이아 1000개</t>
    <phoneticPr fontId="1" type="noConversion"/>
  </si>
  <si>
    <t>영웅5 장비 1, 다이아 2000개</t>
    <phoneticPr fontId="1" type="noConversion"/>
  </si>
  <si>
    <t>전설1 장비 1, 다이아 3000개</t>
    <phoneticPr fontId="1" type="noConversion"/>
  </si>
  <si>
    <t>전설5 장비 1, 다이아 5000개, 스킬 던전 티켓 3, 각성 던전 티켓 3</t>
    <phoneticPr fontId="1" type="noConversion"/>
  </si>
  <si>
    <t>전설5 장비 1, 다이아 10000개</t>
    <phoneticPr fontId="1" type="noConversion"/>
  </si>
  <si>
    <t>망자의 부름 스킬 1, 다이아 10000개</t>
    <phoneticPr fontId="1" type="noConversion"/>
  </si>
  <si>
    <t>다이아 3000개, 각성석 1000개, 스킬 강화석 10000개</t>
    <phoneticPr fontId="1" type="noConversion"/>
  </si>
  <si>
    <t>신화1 장비 1, 다이아 10000개, 스킬 던전 티켓 10, 각성 던전 티켓 10</t>
    <phoneticPr fontId="1" type="noConversion"/>
  </si>
  <si>
    <t>스킬 던전 티켓 10, 각성 던전 티켓 10</t>
    <phoneticPr fontId="1" type="noConversion"/>
  </si>
  <si>
    <t>광고 제거</t>
    <phoneticPr fontId="1" type="noConversion"/>
  </si>
  <si>
    <t>레벨 달성 1~20까지</t>
    <phoneticPr fontId="1" type="noConversion"/>
  </si>
  <si>
    <t>레벨 달성 21~40까지</t>
    <phoneticPr fontId="1" type="noConversion"/>
  </si>
  <si>
    <t>레벨 달성 41~60까지</t>
    <phoneticPr fontId="1" type="noConversion"/>
  </si>
  <si>
    <t>스테이지 1~20까지</t>
    <phoneticPr fontId="1" type="noConversion"/>
  </si>
  <si>
    <t>스테이지 21~40까지</t>
    <phoneticPr fontId="1" type="noConversion"/>
  </si>
  <si>
    <t>스테이지 41~60까지</t>
    <phoneticPr fontId="1" type="noConversion"/>
  </si>
  <si>
    <t>몬스터 처치 수 기준 패스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</si>
</sst>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3" fontId="0" fillId="0" borderId="0" xfId="0" applyNumberFormat="1">
      <alignment vertical="center"/>
    </xf>
    <xf numFmtId="0" fontId="3" fillId="0" borderId="0" xfId="0" applyFont="1">
      <alignment vertical="center"/>
    </xf>
    <xf numFmtId="3" fontId="3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>
      <alignment vertical="center"/>
    </xf>
    <xf numFmtId="0" fontId="5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/>
    </xf>
    <xf numFmtId="3" fontId="5" fillId="0" borderId="0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3" fontId="5" fillId="0" borderId="3" xfId="0" applyNumberFormat="1" applyFont="1" applyBorder="1" applyAlignment="1">
      <alignment horizontal="righ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>
      <alignment vertical="center"/>
    </xf>
    <xf numFmtId="3" fontId="5" fillId="0" borderId="0" xfId="0" applyNumberFormat="1" applyFont="1" applyBorder="1">
      <alignment vertical="center"/>
    </xf>
    <xf numFmtId="3" fontId="5" fillId="0" borderId="3" xfId="0" applyNumberFormat="1" applyFont="1" applyBorder="1">
      <alignment vertical="center"/>
    </xf>
    <xf numFmtId="3" fontId="5" fillId="0" borderId="5" xfId="0" applyNumberFormat="1" applyFont="1" applyBorder="1">
      <alignment vertical="center"/>
    </xf>
    <xf numFmtId="3" fontId="5" fillId="0" borderId="6" xfId="0" applyNumberFormat="1" applyFont="1" applyBorder="1">
      <alignment vertical="center"/>
    </xf>
    <xf numFmtId="3" fontId="5" fillId="0" borderId="7" xfId="0" applyNumberFormat="1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3" fontId="5" fillId="0" borderId="4" xfId="0" applyNumberFormat="1" applyFont="1" applyBorder="1">
      <alignment vertical="center"/>
    </xf>
    <xf numFmtId="0" fontId="5" fillId="0" borderId="6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7"/>
  <sheetViews>
    <sheetView tabSelected="1" topLeftCell="A16" workbookViewId="0">
      <selection activeCell="F34" sqref="F34"/>
    </sheetView>
  </sheetViews>
  <sheetFormatPr defaultRowHeight="16.5" x14ac:dyDescent="0.3"/>
  <cols>
    <col min="1" max="1" width="1.75" customWidth="1"/>
    <col min="2" max="2" width="9.25" bestFit="1" customWidth="1"/>
    <col min="3" max="3" width="18.75" bestFit="1" customWidth="1"/>
    <col min="4" max="4" width="17.5" bestFit="1" customWidth="1"/>
    <col min="5" max="5" width="13" customWidth="1"/>
    <col min="6" max="6" width="54" bestFit="1" customWidth="1"/>
    <col min="7" max="7" width="12.375" bestFit="1" customWidth="1"/>
    <col min="8" max="8" width="8.625" bestFit="1" customWidth="1"/>
    <col min="10" max="10" width="29.375" bestFit="1" customWidth="1"/>
    <col min="13" max="13" width="10.375" bestFit="1" customWidth="1"/>
    <col min="14" max="14" width="14.25" bestFit="1" customWidth="1"/>
  </cols>
  <sheetData>
    <row r="2" spans="2:17" ht="17.25" thickBot="1" x14ac:dyDescent="0.35">
      <c r="B2" s="64" t="s">
        <v>55</v>
      </c>
      <c r="C2" s="64"/>
      <c r="D2" s="14" t="s">
        <v>68</v>
      </c>
      <c r="E2" s="14" t="s">
        <v>86</v>
      </c>
      <c r="F2" s="14" t="s">
        <v>57</v>
      </c>
      <c r="G2" s="14" t="s">
        <v>58</v>
      </c>
      <c r="H2" s="14" t="s">
        <v>59</v>
      </c>
      <c r="I2" s="15" t="s">
        <v>60</v>
      </c>
      <c r="J2" s="15" t="s">
        <v>70</v>
      </c>
      <c r="L2" s="62" t="s">
        <v>55</v>
      </c>
      <c r="M2" s="62"/>
      <c r="N2" s="15" t="s">
        <v>68</v>
      </c>
      <c r="O2" s="15" t="s">
        <v>57</v>
      </c>
      <c r="P2" s="15" t="s">
        <v>69</v>
      </c>
      <c r="Q2" s="15" t="s">
        <v>70</v>
      </c>
    </row>
    <row r="3" spans="2:17" ht="17.25" thickTop="1" x14ac:dyDescent="0.3">
      <c r="B3" s="58" t="s">
        <v>46</v>
      </c>
      <c r="C3" s="65" t="s">
        <v>45</v>
      </c>
      <c r="D3" s="16" t="s">
        <v>18</v>
      </c>
      <c r="E3" s="25">
        <v>3300</v>
      </c>
      <c r="F3" s="42" t="s">
        <v>79</v>
      </c>
      <c r="G3" s="42">
        <v>330</v>
      </c>
      <c r="H3" s="43" t="s">
        <v>72</v>
      </c>
      <c r="I3" s="44"/>
      <c r="J3" s="42"/>
      <c r="L3" s="58" t="s">
        <v>65</v>
      </c>
      <c r="M3" s="54" t="s">
        <v>61</v>
      </c>
      <c r="N3" s="11" t="s">
        <v>62</v>
      </c>
    </row>
    <row r="4" spans="2:17" x14ac:dyDescent="0.3">
      <c r="B4" s="59"/>
      <c r="C4" s="56"/>
      <c r="D4" s="17" t="s">
        <v>19</v>
      </c>
      <c r="E4" s="26">
        <v>5500</v>
      </c>
      <c r="F4" s="17" t="s">
        <v>80</v>
      </c>
      <c r="G4" s="23">
        <v>550</v>
      </c>
      <c r="H4" s="19" t="s">
        <v>72</v>
      </c>
      <c r="I4" s="45"/>
      <c r="J4" s="23"/>
      <c r="L4" s="59"/>
      <c r="M4" s="54"/>
      <c r="N4" s="11" t="s">
        <v>63</v>
      </c>
    </row>
    <row r="5" spans="2:17" x14ac:dyDescent="0.3">
      <c r="B5" s="59"/>
      <c r="C5" s="56"/>
      <c r="D5" s="17" t="s">
        <v>75</v>
      </c>
      <c r="E5" s="26">
        <v>11000</v>
      </c>
      <c r="F5" s="17" t="s">
        <v>81</v>
      </c>
      <c r="G5" s="45">
        <v>1100</v>
      </c>
      <c r="H5" s="19" t="s">
        <v>72</v>
      </c>
      <c r="I5" s="45"/>
      <c r="J5" s="23"/>
      <c r="L5" s="59"/>
      <c r="M5" s="54" t="s">
        <v>64</v>
      </c>
      <c r="N5" s="11" t="s">
        <v>56</v>
      </c>
    </row>
    <row r="6" spans="2:17" x14ac:dyDescent="0.3">
      <c r="B6" s="59"/>
      <c r="C6" s="56"/>
      <c r="D6" s="17" t="s">
        <v>76</v>
      </c>
      <c r="E6" s="26">
        <v>33000</v>
      </c>
      <c r="F6" s="17" t="s">
        <v>82</v>
      </c>
      <c r="G6" s="45">
        <v>3300</v>
      </c>
      <c r="H6" s="19" t="s">
        <v>72</v>
      </c>
      <c r="I6" s="45"/>
      <c r="J6" s="23"/>
      <c r="L6" s="59"/>
      <c r="M6" s="54"/>
      <c r="N6" s="11" t="s">
        <v>66</v>
      </c>
    </row>
    <row r="7" spans="2:17" x14ac:dyDescent="0.3">
      <c r="B7" s="59"/>
      <c r="C7" s="56"/>
      <c r="D7" s="17" t="s">
        <v>77</v>
      </c>
      <c r="E7" s="26">
        <v>55000</v>
      </c>
      <c r="F7" s="17" t="s">
        <v>83</v>
      </c>
      <c r="G7" s="45">
        <v>5500</v>
      </c>
      <c r="H7" s="19" t="s">
        <v>72</v>
      </c>
      <c r="I7" s="45"/>
      <c r="J7" s="23"/>
      <c r="L7" s="59"/>
      <c r="M7" s="54"/>
      <c r="N7" s="11" t="s">
        <v>53</v>
      </c>
    </row>
    <row r="8" spans="2:17" x14ac:dyDescent="0.3">
      <c r="B8" s="59"/>
      <c r="C8" s="57"/>
      <c r="D8" s="27" t="s">
        <v>78</v>
      </c>
      <c r="E8" s="33">
        <v>110000</v>
      </c>
      <c r="F8" s="27" t="s">
        <v>84</v>
      </c>
      <c r="G8" s="46">
        <v>11000</v>
      </c>
      <c r="H8" s="20" t="s">
        <v>72</v>
      </c>
      <c r="I8" s="46"/>
      <c r="J8" s="30"/>
      <c r="L8" s="59"/>
      <c r="M8" s="54"/>
      <c r="N8" s="11" t="s">
        <v>54</v>
      </c>
    </row>
    <row r="9" spans="2:17" x14ac:dyDescent="0.3">
      <c r="B9" s="59"/>
      <c r="C9" s="55" t="s">
        <v>52</v>
      </c>
      <c r="D9" s="29" t="s">
        <v>110</v>
      </c>
      <c r="E9" s="47">
        <v>3300</v>
      </c>
      <c r="F9" s="34" t="s">
        <v>107</v>
      </c>
      <c r="G9" s="31">
        <v>330</v>
      </c>
      <c r="H9" s="28" t="s">
        <v>72</v>
      </c>
      <c r="I9" s="31"/>
      <c r="J9" s="31"/>
      <c r="L9" s="59"/>
      <c r="M9" s="54"/>
      <c r="N9" s="11" t="s">
        <v>67</v>
      </c>
    </row>
    <row r="10" spans="2:17" s="18" customFormat="1" x14ac:dyDescent="0.3">
      <c r="B10" s="59"/>
      <c r="C10" s="56"/>
      <c r="D10" s="17" t="s">
        <v>111</v>
      </c>
      <c r="E10" s="45">
        <v>5500</v>
      </c>
      <c r="F10" s="32" t="s">
        <v>108</v>
      </c>
      <c r="G10" s="23">
        <v>550</v>
      </c>
      <c r="H10" s="19" t="s">
        <v>72</v>
      </c>
      <c r="I10" s="23"/>
      <c r="J10" s="23"/>
      <c r="L10" s="59"/>
      <c r="M10" s="54"/>
      <c r="N10" s="11" t="s">
        <v>71</v>
      </c>
    </row>
    <row r="11" spans="2:17" x14ac:dyDescent="0.3">
      <c r="B11" s="59"/>
      <c r="C11" s="56"/>
      <c r="D11" s="17" t="s">
        <v>112</v>
      </c>
      <c r="E11" s="45">
        <v>11000</v>
      </c>
      <c r="F11" s="32" t="s">
        <v>109</v>
      </c>
      <c r="G11" s="45">
        <v>1100</v>
      </c>
      <c r="H11" s="19" t="s">
        <v>72</v>
      </c>
      <c r="I11" s="23"/>
      <c r="J11" s="23"/>
      <c r="L11" s="24"/>
      <c r="M11" s="13"/>
      <c r="N11" s="11"/>
    </row>
    <row r="12" spans="2:17" x14ac:dyDescent="0.3">
      <c r="B12" s="59"/>
      <c r="C12" s="56"/>
      <c r="D12" s="17" t="s">
        <v>116</v>
      </c>
      <c r="E12" s="45">
        <v>33000</v>
      </c>
      <c r="F12" s="32" t="s">
        <v>113</v>
      </c>
      <c r="G12" s="45">
        <v>3300</v>
      </c>
      <c r="H12" s="19" t="s">
        <v>72</v>
      </c>
      <c r="I12" s="23"/>
      <c r="J12" s="23"/>
      <c r="L12" s="24"/>
      <c r="M12" s="13"/>
      <c r="N12" s="11"/>
    </row>
    <row r="13" spans="2:17" x14ac:dyDescent="0.3">
      <c r="B13" s="59"/>
      <c r="C13" s="56"/>
      <c r="D13" s="17" t="s">
        <v>105</v>
      </c>
      <c r="E13" s="45">
        <v>55000</v>
      </c>
      <c r="F13" s="32" t="s">
        <v>114</v>
      </c>
      <c r="G13" s="45">
        <v>5500</v>
      </c>
      <c r="H13" s="19" t="s">
        <v>72</v>
      </c>
      <c r="I13" s="23"/>
      <c r="J13" s="23"/>
      <c r="L13" s="24"/>
      <c r="M13" s="13"/>
      <c r="N13" s="11"/>
    </row>
    <row r="14" spans="2:17" x14ac:dyDescent="0.3">
      <c r="B14" s="59"/>
      <c r="C14" s="57"/>
      <c r="D14" s="27" t="s">
        <v>117</v>
      </c>
      <c r="E14" s="46">
        <v>110000</v>
      </c>
      <c r="F14" s="35" t="s">
        <v>115</v>
      </c>
      <c r="G14" s="46">
        <v>11000</v>
      </c>
      <c r="H14" s="20" t="s">
        <v>72</v>
      </c>
      <c r="I14" s="30"/>
      <c r="J14" s="30"/>
      <c r="L14" s="24"/>
      <c r="M14" s="13"/>
      <c r="N14" s="11"/>
    </row>
    <row r="15" spans="2:17" x14ac:dyDescent="0.3">
      <c r="B15" s="59"/>
      <c r="C15" s="55" t="s">
        <v>53</v>
      </c>
      <c r="D15" s="29" t="s">
        <v>124</v>
      </c>
      <c r="E15" s="47">
        <v>3300</v>
      </c>
      <c r="F15" s="34" t="s">
        <v>118</v>
      </c>
      <c r="G15" s="31">
        <v>330</v>
      </c>
      <c r="H15" s="28" t="s">
        <v>72</v>
      </c>
      <c r="I15" s="31"/>
      <c r="J15" s="31"/>
      <c r="L15" s="24"/>
      <c r="M15" s="13"/>
    </row>
    <row r="16" spans="2:17" x14ac:dyDescent="0.3">
      <c r="B16" s="59"/>
      <c r="C16" s="56"/>
      <c r="D16" s="17" t="s">
        <v>125</v>
      </c>
      <c r="E16" s="45">
        <v>5500</v>
      </c>
      <c r="F16" s="32" t="s">
        <v>119</v>
      </c>
      <c r="G16" s="23">
        <v>550</v>
      </c>
      <c r="H16" s="19" t="s">
        <v>72</v>
      </c>
      <c r="I16" s="23"/>
      <c r="J16" s="23"/>
      <c r="L16" s="24"/>
      <c r="M16" s="13"/>
    </row>
    <row r="17" spans="2:13" x14ac:dyDescent="0.3">
      <c r="B17" s="59"/>
      <c r="C17" s="56"/>
      <c r="D17" s="17" t="s">
        <v>126</v>
      </c>
      <c r="E17" s="45">
        <v>11000</v>
      </c>
      <c r="F17" s="32" t="s">
        <v>120</v>
      </c>
      <c r="G17" s="45">
        <v>1100</v>
      </c>
      <c r="H17" s="19" t="s">
        <v>72</v>
      </c>
      <c r="I17" s="23"/>
      <c r="J17" s="23"/>
      <c r="L17" s="24"/>
      <c r="M17" s="13"/>
    </row>
    <row r="18" spans="2:13" x14ac:dyDescent="0.3">
      <c r="B18" s="59"/>
      <c r="C18" s="56"/>
      <c r="D18" s="17" t="s">
        <v>127</v>
      </c>
      <c r="E18" s="45">
        <v>33000</v>
      </c>
      <c r="F18" s="32" t="s">
        <v>121</v>
      </c>
      <c r="G18" s="45">
        <v>3300</v>
      </c>
      <c r="H18" s="19" t="s">
        <v>72</v>
      </c>
      <c r="I18" s="23"/>
      <c r="J18" s="23"/>
      <c r="L18" s="24"/>
      <c r="M18" s="13"/>
    </row>
    <row r="19" spans="2:13" x14ac:dyDescent="0.3">
      <c r="B19" s="59"/>
      <c r="C19" s="56"/>
      <c r="D19" s="17" t="s">
        <v>106</v>
      </c>
      <c r="E19" s="45">
        <v>55000</v>
      </c>
      <c r="F19" s="32" t="s">
        <v>122</v>
      </c>
      <c r="G19" s="45">
        <v>5500</v>
      </c>
      <c r="H19" s="19" t="s">
        <v>72</v>
      </c>
      <c r="I19" s="23"/>
      <c r="J19" s="23"/>
      <c r="L19" s="24"/>
      <c r="M19" s="13"/>
    </row>
    <row r="20" spans="2:13" x14ac:dyDescent="0.3">
      <c r="B20" s="59"/>
      <c r="C20" s="57"/>
      <c r="D20" s="27" t="s">
        <v>134</v>
      </c>
      <c r="E20" s="46">
        <v>110000</v>
      </c>
      <c r="F20" s="35" t="s">
        <v>123</v>
      </c>
      <c r="G20" s="46">
        <v>11000</v>
      </c>
      <c r="H20" s="20" t="s">
        <v>72</v>
      </c>
      <c r="I20" s="30"/>
      <c r="J20" s="30"/>
      <c r="L20" s="24"/>
      <c r="M20" s="13"/>
    </row>
    <row r="21" spans="2:13" x14ac:dyDescent="0.3">
      <c r="B21" s="59"/>
      <c r="C21" s="56" t="s">
        <v>135</v>
      </c>
      <c r="D21" s="17" t="s">
        <v>138</v>
      </c>
      <c r="E21" s="45">
        <v>3300</v>
      </c>
      <c r="F21" s="32" t="s">
        <v>139</v>
      </c>
      <c r="G21" s="23">
        <v>330</v>
      </c>
      <c r="H21" s="19" t="s">
        <v>72</v>
      </c>
      <c r="I21" s="23"/>
      <c r="J21" s="23"/>
      <c r="L21" s="24"/>
      <c r="M21" s="13"/>
    </row>
    <row r="22" spans="2:13" x14ac:dyDescent="0.3">
      <c r="B22" s="59"/>
      <c r="C22" s="56"/>
      <c r="D22" s="17" t="s">
        <v>140</v>
      </c>
      <c r="E22" s="45">
        <v>5500</v>
      </c>
      <c r="F22" s="32" t="s">
        <v>141</v>
      </c>
      <c r="G22" s="23">
        <v>550</v>
      </c>
      <c r="H22" s="19" t="s">
        <v>72</v>
      </c>
      <c r="I22" s="23"/>
      <c r="J22" s="23"/>
      <c r="L22" s="24"/>
      <c r="M22" s="13"/>
    </row>
    <row r="23" spans="2:13" x14ac:dyDescent="0.3">
      <c r="B23" s="59"/>
      <c r="C23" s="56"/>
      <c r="D23" s="17" t="s">
        <v>136</v>
      </c>
      <c r="E23" s="45">
        <v>11000</v>
      </c>
      <c r="F23" s="32" t="s">
        <v>137</v>
      </c>
      <c r="G23" s="45">
        <v>1100</v>
      </c>
      <c r="H23" s="19" t="s">
        <v>72</v>
      </c>
      <c r="I23" s="23"/>
      <c r="J23" s="23"/>
      <c r="L23" s="24"/>
      <c r="M23" s="13"/>
    </row>
    <row r="24" spans="2:13" x14ac:dyDescent="0.3">
      <c r="B24" s="59"/>
      <c r="C24" s="56"/>
      <c r="D24" s="17" t="s">
        <v>142</v>
      </c>
      <c r="E24" s="45">
        <v>33000</v>
      </c>
      <c r="F24" s="32" t="s">
        <v>143</v>
      </c>
      <c r="G24" s="45">
        <v>3300</v>
      </c>
      <c r="H24" s="19" t="s">
        <v>72</v>
      </c>
      <c r="I24" s="23"/>
      <c r="J24" s="23"/>
      <c r="L24" s="24"/>
      <c r="M24" s="13"/>
    </row>
    <row r="25" spans="2:13" x14ac:dyDescent="0.3">
      <c r="B25" s="59"/>
      <c r="C25" s="56"/>
      <c r="D25" s="17" t="s">
        <v>144</v>
      </c>
      <c r="E25" s="45">
        <v>55000</v>
      </c>
      <c r="F25" s="32" t="s">
        <v>145</v>
      </c>
      <c r="G25" s="45">
        <v>5500</v>
      </c>
      <c r="H25" s="19" t="s">
        <v>72</v>
      </c>
      <c r="I25" s="23"/>
      <c r="J25" s="23"/>
      <c r="L25" s="24"/>
      <c r="M25" s="13"/>
    </row>
    <row r="26" spans="2:13" ht="17.25" thickBot="1" x14ac:dyDescent="0.35">
      <c r="B26" s="60"/>
      <c r="C26" s="56"/>
      <c r="D26" s="17" t="s">
        <v>146</v>
      </c>
      <c r="E26" s="45">
        <v>110000</v>
      </c>
      <c r="F26" s="32" t="s">
        <v>147</v>
      </c>
      <c r="G26" s="45">
        <v>11000</v>
      </c>
      <c r="H26" s="19" t="s">
        <v>72</v>
      </c>
      <c r="I26" s="40"/>
      <c r="J26" s="40"/>
      <c r="L26" s="24"/>
      <c r="M26" s="13"/>
    </row>
    <row r="27" spans="2:13" x14ac:dyDescent="0.3">
      <c r="B27" s="63" t="s">
        <v>47</v>
      </c>
      <c r="C27" s="61" t="s">
        <v>130</v>
      </c>
      <c r="D27" s="38" t="s">
        <v>149</v>
      </c>
      <c r="E27" s="49">
        <v>1100</v>
      </c>
      <c r="F27" s="38" t="s">
        <v>154</v>
      </c>
      <c r="G27" s="49">
        <v>0</v>
      </c>
      <c r="H27" s="50" t="s">
        <v>89</v>
      </c>
      <c r="I27" s="49"/>
      <c r="J27" s="41" t="s">
        <v>148</v>
      </c>
    </row>
    <row r="28" spans="2:13" x14ac:dyDescent="0.3">
      <c r="B28" s="59"/>
      <c r="C28" s="56"/>
      <c r="D28" s="17" t="s">
        <v>150</v>
      </c>
      <c r="E28" s="45">
        <v>3300</v>
      </c>
      <c r="F28" s="17" t="s">
        <v>155</v>
      </c>
      <c r="G28" s="45">
        <v>330</v>
      </c>
      <c r="H28" s="19" t="s">
        <v>89</v>
      </c>
      <c r="I28" s="45"/>
      <c r="J28" s="23" t="s">
        <v>148</v>
      </c>
    </row>
    <row r="29" spans="2:13" x14ac:dyDescent="0.3">
      <c r="B29" s="59"/>
      <c r="C29" s="56"/>
      <c r="D29" s="23" t="s">
        <v>151</v>
      </c>
      <c r="E29" s="45">
        <v>11000</v>
      </c>
      <c r="F29" s="23" t="s">
        <v>156</v>
      </c>
      <c r="G29" s="45">
        <v>1100</v>
      </c>
      <c r="H29" s="51" t="s">
        <v>89</v>
      </c>
      <c r="I29" s="23"/>
      <c r="J29" s="23" t="s">
        <v>148</v>
      </c>
    </row>
    <row r="30" spans="2:13" x14ac:dyDescent="0.3">
      <c r="B30" s="59"/>
      <c r="C30" s="56"/>
      <c r="D30" s="23" t="s">
        <v>152</v>
      </c>
      <c r="E30" s="45">
        <v>33000</v>
      </c>
      <c r="F30" s="23" t="s">
        <v>157</v>
      </c>
      <c r="G30" s="45">
        <v>3300</v>
      </c>
      <c r="H30" s="51" t="s">
        <v>89</v>
      </c>
      <c r="I30" s="23"/>
      <c r="J30" s="23" t="s">
        <v>148</v>
      </c>
    </row>
    <row r="31" spans="2:13" x14ac:dyDescent="0.3">
      <c r="B31" s="59"/>
      <c r="C31" s="57"/>
      <c r="D31" s="30" t="s">
        <v>153</v>
      </c>
      <c r="E31" s="46">
        <v>99000</v>
      </c>
      <c r="F31" s="30" t="s">
        <v>161</v>
      </c>
      <c r="G31" s="46">
        <v>9900</v>
      </c>
      <c r="H31" s="20" t="s">
        <v>89</v>
      </c>
      <c r="I31" s="30"/>
      <c r="J31" s="30" t="s">
        <v>148</v>
      </c>
    </row>
    <row r="32" spans="2:13" x14ac:dyDescent="0.3">
      <c r="B32" s="59"/>
      <c r="C32" s="55" t="s">
        <v>133</v>
      </c>
      <c r="D32" s="31" t="s">
        <v>132</v>
      </c>
      <c r="E32" s="47">
        <v>88000</v>
      </c>
      <c r="F32" s="31" t="s">
        <v>158</v>
      </c>
      <c r="G32" s="47">
        <v>8800</v>
      </c>
      <c r="H32" s="28" t="s">
        <v>89</v>
      </c>
      <c r="I32" s="31"/>
      <c r="J32" s="31"/>
    </row>
    <row r="33" spans="2:10" x14ac:dyDescent="0.3">
      <c r="B33" s="59"/>
      <c r="C33" s="57"/>
      <c r="D33" s="30" t="s">
        <v>131</v>
      </c>
      <c r="E33" s="46">
        <v>88000</v>
      </c>
      <c r="F33" s="30" t="s">
        <v>159</v>
      </c>
      <c r="G33" s="46">
        <v>8800</v>
      </c>
      <c r="H33" s="20" t="s">
        <v>89</v>
      </c>
      <c r="I33" s="30"/>
      <c r="J33" s="30"/>
    </row>
    <row r="34" spans="2:10" x14ac:dyDescent="0.3">
      <c r="B34" s="59"/>
      <c r="C34" s="36" t="s">
        <v>103</v>
      </c>
      <c r="D34" s="37" t="s">
        <v>129</v>
      </c>
      <c r="E34" s="52">
        <v>3300</v>
      </c>
      <c r="F34" s="37" t="s">
        <v>160</v>
      </c>
      <c r="G34" s="37">
        <v>330</v>
      </c>
      <c r="H34" s="36" t="s">
        <v>89</v>
      </c>
      <c r="I34" s="37"/>
      <c r="J34" s="37"/>
    </row>
    <row r="35" spans="2:10" x14ac:dyDescent="0.3">
      <c r="B35" s="59"/>
      <c r="C35" s="36" t="s">
        <v>104</v>
      </c>
      <c r="D35" s="37" t="s">
        <v>128</v>
      </c>
      <c r="E35" s="52">
        <v>5500</v>
      </c>
      <c r="F35" s="37" t="s">
        <v>162</v>
      </c>
      <c r="G35" s="37">
        <v>550</v>
      </c>
      <c r="H35" s="36" t="s">
        <v>89</v>
      </c>
      <c r="I35" s="37"/>
      <c r="J35" s="37"/>
    </row>
    <row r="36" spans="2:10" ht="17.25" thickBot="1" x14ac:dyDescent="0.35">
      <c r="B36" s="60"/>
      <c r="C36" s="39" t="s">
        <v>51</v>
      </c>
      <c r="D36" s="40" t="s">
        <v>102</v>
      </c>
      <c r="E36" s="48">
        <v>5500</v>
      </c>
      <c r="F36" s="40" t="s">
        <v>163</v>
      </c>
      <c r="G36" s="40">
        <v>550</v>
      </c>
      <c r="H36" s="39" t="s">
        <v>89</v>
      </c>
      <c r="I36" s="40"/>
      <c r="J36" s="40"/>
    </row>
    <row r="37" spans="2:10" x14ac:dyDescent="0.3">
      <c r="B37" s="63" t="s">
        <v>48</v>
      </c>
      <c r="C37" s="61" t="s">
        <v>49</v>
      </c>
      <c r="D37" s="41" t="s">
        <v>90</v>
      </c>
      <c r="E37" s="49">
        <v>11000</v>
      </c>
      <c r="F37" s="41" t="s">
        <v>164</v>
      </c>
      <c r="G37" s="49">
        <v>1100</v>
      </c>
      <c r="H37" s="50" t="s">
        <v>89</v>
      </c>
      <c r="I37" s="41"/>
      <c r="J37" s="41" t="s">
        <v>99</v>
      </c>
    </row>
    <row r="38" spans="2:10" x14ac:dyDescent="0.3">
      <c r="B38" s="59"/>
      <c r="C38" s="56"/>
      <c r="D38" s="23" t="s">
        <v>91</v>
      </c>
      <c r="E38" s="45">
        <v>22000</v>
      </c>
      <c r="F38" s="23" t="s">
        <v>165</v>
      </c>
      <c r="G38" s="45">
        <v>2200</v>
      </c>
      <c r="H38" s="19" t="s">
        <v>89</v>
      </c>
      <c r="I38" s="23"/>
      <c r="J38" s="23" t="s">
        <v>100</v>
      </c>
    </row>
    <row r="39" spans="2:10" x14ac:dyDescent="0.3">
      <c r="B39" s="59"/>
      <c r="C39" s="57"/>
      <c r="D39" s="30" t="s">
        <v>92</v>
      </c>
      <c r="E39" s="46">
        <v>33000</v>
      </c>
      <c r="F39" s="30" t="s">
        <v>166</v>
      </c>
      <c r="G39" s="46">
        <v>3300</v>
      </c>
      <c r="H39" s="20" t="s">
        <v>89</v>
      </c>
      <c r="I39" s="30"/>
      <c r="J39" s="30" t="s">
        <v>101</v>
      </c>
    </row>
    <row r="40" spans="2:10" x14ac:dyDescent="0.3">
      <c r="B40" s="59"/>
      <c r="C40" s="55" t="s">
        <v>50</v>
      </c>
      <c r="D40" s="31" t="s">
        <v>93</v>
      </c>
      <c r="E40" s="47">
        <v>5500</v>
      </c>
      <c r="F40" s="31" t="s">
        <v>167</v>
      </c>
      <c r="G40" s="31">
        <v>550</v>
      </c>
      <c r="H40" s="28" t="s">
        <v>89</v>
      </c>
      <c r="I40" s="31"/>
      <c r="J40" s="31"/>
    </row>
    <row r="41" spans="2:10" x14ac:dyDescent="0.3">
      <c r="B41" s="59"/>
      <c r="C41" s="56"/>
      <c r="D41" s="23" t="s">
        <v>94</v>
      </c>
      <c r="E41" s="45">
        <v>11000</v>
      </c>
      <c r="F41" s="23" t="s">
        <v>168</v>
      </c>
      <c r="G41" s="45">
        <v>1100</v>
      </c>
      <c r="H41" s="19" t="s">
        <v>89</v>
      </c>
      <c r="I41" s="23"/>
      <c r="J41" s="23"/>
    </row>
    <row r="42" spans="2:10" x14ac:dyDescent="0.3">
      <c r="B42" s="59"/>
      <c r="C42" s="57"/>
      <c r="D42" s="30" t="s">
        <v>95</v>
      </c>
      <c r="E42" s="46">
        <v>33000</v>
      </c>
      <c r="F42" s="30" t="s">
        <v>169</v>
      </c>
      <c r="G42" s="46">
        <v>3300</v>
      </c>
      <c r="H42" s="20" t="s">
        <v>89</v>
      </c>
      <c r="I42" s="30"/>
      <c r="J42" s="30"/>
    </row>
    <row r="43" spans="2:10" x14ac:dyDescent="0.3">
      <c r="B43" s="59"/>
      <c r="C43" s="36" t="s">
        <v>87</v>
      </c>
      <c r="D43" s="37" t="s">
        <v>96</v>
      </c>
      <c r="E43" s="52">
        <v>28000</v>
      </c>
      <c r="F43" s="37" t="s">
        <v>170</v>
      </c>
      <c r="G43" s="52">
        <v>2800</v>
      </c>
      <c r="H43" s="36" t="s">
        <v>89</v>
      </c>
      <c r="I43" s="37"/>
      <c r="J43" s="37"/>
    </row>
    <row r="44" spans="2:10" ht="17.25" thickBot="1" x14ac:dyDescent="0.35">
      <c r="B44" s="60"/>
      <c r="C44" s="39" t="s">
        <v>97</v>
      </c>
      <c r="D44" s="40" t="s">
        <v>98</v>
      </c>
      <c r="E44" s="53" t="s">
        <v>85</v>
      </c>
      <c r="F44" s="40"/>
      <c r="G44" s="40"/>
      <c r="H44" s="39" t="s">
        <v>89</v>
      </c>
      <c r="I44" s="40"/>
      <c r="J44" s="40" t="s">
        <v>88</v>
      </c>
    </row>
    <row r="45" spans="2:10" x14ac:dyDescent="0.3">
      <c r="B45" s="13"/>
      <c r="C45" s="12"/>
    </row>
    <row r="46" spans="2:10" x14ac:dyDescent="0.3">
      <c r="B46" s="21" t="s">
        <v>73</v>
      </c>
      <c r="C46" s="12"/>
    </row>
    <row r="47" spans="2:10" x14ac:dyDescent="0.3">
      <c r="B47" s="22" t="s">
        <v>74</v>
      </c>
    </row>
  </sheetData>
  <mergeCells count="16">
    <mergeCell ref="L2:M2"/>
    <mergeCell ref="L3:L10"/>
    <mergeCell ref="B27:B36"/>
    <mergeCell ref="B37:B44"/>
    <mergeCell ref="B2:C2"/>
    <mergeCell ref="C3:C8"/>
    <mergeCell ref="M5:M10"/>
    <mergeCell ref="C9:C14"/>
    <mergeCell ref="B3:B26"/>
    <mergeCell ref="C37:C39"/>
    <mergeCell ref="C40:C42"/>
    <mergeCell ref="C27:C31"/>
    <mergeCell ref="C32:C33"/>
    <mergeCell ref="C21:C26"/>
    <mergeCell ref="C15:C20"/>
    <mergeCell ref="M3:M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2"/>
  <sheetViews>
    <sheetView workbookViewId="0">
      <selection activeCell="H14" sqref="H14"/>
    </sheetView>
  </sheetViews>
  <sheetFormatPr defaultRowHeight="16.5" x14ac:dyDescent="0.3"/>
  <cols>
    <col min="2" max="2" width="14.125" bestFit="1" customWidth="1"/>
    <col min="3" max="3" width="11.5" bestFit="1" customWidth="1"/>
    <col min="4" max="4" width="34.5" bestFit="1" customWidth="1"/>
    <col min="5" max="5" width="13" bestFit="1" customWidth="1"/>
    <col min="6" max="6" width="8.875" bestFit="1" customWidth="1"/>
  </cols>
  <sheetData>
    <row r="2" spans="2:15" x14ac:dyDescent="0.3">
      <c r="B2" s="2" t="s">
        <v>28</v>
      </c>
      <c r="F2" s="1"/>
      <c r="N2" s="8" t="s">
        <v>21</v>
      </c>
    </row>
    <row r="3" spans="2:15" x14ac:dyDescent="0.3">
      <c r="B3" s="9" t="s">
        <v>2</v>
      </c>
      <c r="C3" s="9" t="s">
        <v>0</v>
      </c>
      <c r="D3" s="9" t="s">
        <v>1</v>
      </c>
      <c r="E3" s="9" t="s">
        <v>13</v>
      </c>
      <c r="F3" s="9" t="s">
        <v>14</v>
      </c>
      <c r="H3" s="9" t="s">
        <v>26</v>
      </c>
      <c r="I3" s="9" t="s">
        <v>27</v>
      </c>
      <c r="N3" s="8" t="s">
        <v>22</v>
      </c>
      <c r="O3" t="s">
        <v>23</v>
      </c>
    </row>
    <row r="4" spans="2:15" x14ac:dyDescent="0.3">
      <c r="B4" s="7" t="s">
        <v>17</v>
      </c>
      <c r="C4" s="5">
        <v>1100</v>
      </c>
      <c r="D4" s="4" t="s">
        <v>9</v>
      </c>
      <c r="E4" s="4">
        <v>110</v>
      </c>
      <c r="F4" s="6" t="s">
        <v>15</v>
      </c>
      <c r="N4" s="8" t="s">
        <v>24</v>
      </c>
      <c r="O4" t="s">
        <v>25</v>
      </c>
    </row>
    <row r="5" spans="2:15" x14ac:dyDescent="0.3">
      <c r="B5" s="7" t="s">
        <v>18</v>
      </c>
      <c r="C5" s="5">
        <v>3300</v>
      </c>
      <c r="D5" s="4" t="s">
        <v>10</v>
      </c>
      <c r="E5" s="4">
        <v>330</v>
      </c>
      <c r="F5" s="6" t="s">
        <v>15</v>
      </c>
    </row>
    <row r="6" spans="2:15" x14ac:dyDescent="0.3">
      <c r="B6" s="7" t="s">
        <v>19</v>
      </c>
      <c r="C6" s="5">
        <v>5500</v>
      </c>
      <c r="D6" s="4" t="s">
        <v>11</v>
      </c>
      <c r="E6" s="4">
        <v>550</v>
      </c>
      <c r="F6" s="6" t="s">
        <v>15</v>
      </c>
    </row>
    <row r="7" spans="2:15" x14ac:dyDescent="0.3">
      <c r="B7" s="7" t="s">
        <v>20</v>
      </c>
      <c r="C7" s="5">
        <v>9900</v>
      </c>
      <c r="D7" s="4" t="s">
        <v>12</v>
      </c>
      <c r="E7" s="4">
        <v>990</v>
      </c>
      <c r="F7" s="6" t="s">
        <v>15</v>
      </c>
    </row>
    <row r="8" spans="2:15" x14ac:dyDescent="0.3">
      <c r="B8" s="7" t="s">
        <v>31</v>
      </c>
      <c r="C8" s="5">
        <v>11000</v>
      </c>
      <c r="D8" s="4" t="s">
        <v>32</v>
      </c>
      <c r="E8" s="5">
        <v>1100</v>
      </c>
      <c r="F8" s="6" t="s">
        <v>15</v>
      </c>
    </row>
    <row r="9" spans="2:15" x14ac:dyDescent="0.3">
      <c r="B9" s="7" t="s">
        <v>33</v>
      </c>
      <c r="C9" s="5">
        <v>33000</v>
      </c>
      <c r="D9" s="4" t="s">
        <v>34</v>
      </c>
      <c r="E9" s="5">
        <v>3300</v>
      </c>
      <c r="F9" s="6" t="s">
        <v>15</v>
      </c>
    </row>
    <row r="10" spans="2:15" x14ac:dyDescent="0.3">
      <c r="B10" s="7" t="s">
        <v>36</v>
      </c>
      <c r="C10" s="5">
        <v>55000</v>
      </c>
      <c r="D10" s="4" t="s">
        <v>35</v>
      </c>
      <c r="E10" s="5">
        <v>5500</v>
      </c>
      <c r="F10" s="6" t="s">
        <v>15</v>
      </c>
    </row>
    <row r="11" spans="2:15" x14ac:dyDescent="0.3">
      <c r="B11" s="7"/>
      <c r="C11" s="5"/>
      <c r="D11" s="4"/>
      <c r="E11" s="4"/>
      <c r="F11" s="6"/>
    </row>
    <row r="12" spans="2:15" x14ac:dyDescent="0.3">
      <c r="B12" s="9" t="s">
        <v>29</v>
      </c>
      <c r="C12" s="10" t="s">
        <v>39</v>
      </c>
      <c r="D12" s="4"/>
      <c r="E12" s="4"/>
      <c r="F12" s="6"/>
    </row>
    <row r="13" spans="2:15" x14ac:dyDescent="0.3">
      <c r="B13" s="9" t="s">
        <v>2</v>
      </c>
      <c r="C13" s="9" t="s">
        <v>0</v>
      </c>
      <c r="D13" s="9" t="s">
        <v>1</v>
      </c>
      <c r="E13" s="9" t="s">
        <v>13</v>
      </c>
      <c r="F13" s="9" t="s">
        <v>14</v>
      </c>
      <c r="H13" s="9" t="s">
        <v>26</v>
      </c>
      <c r="I13" s="9" t="s">
        <v>30</v>
      </c>
    </row>
    <row r="14" spans="2:15" x14ac:dyDescent="0.3">
      <c r="B14" s="8" t="s">
        <v>3</v>
      </c>
      <c r="C14" s="3">
        <v>11000</v>
      </c>
      <c r="D14" s="4" t="s">
        <v>37</v>
      </c>
      <c r="E14" s="5">
        <v>1100</v>
      </c>
      <c r="F14" s="6" t="s">
        <v>16</v>
      </c>
      <c r="H14">
        <f>(5*3000)+7000</f>
        <v>22000</v>
      </c>
      <c r="I14">
        <f t="shared" ref="I14:I19" si="0">H14/C14*100</f>
        <v>200</v>
      </c>
    </row>
    <row r="15" spans="2:15" x14ac:dyDescent="0.3">
      <c r="B15" s="8" t="s">
        <v>4</v>
      </c>
      <c r="C15" s="3">
        <v>22000</v>
      </c>
      <c r="D15" s="4" t="s">
        <v>38</v>
      </c>
      <c r="E15" s="5">
        <v>2200</v>
      </c>
      <c r="F15" s="6" t="s">
        <v>16</v>
      </c>
      <c r="H15">
        <f>(5*5000)+20000</f>
        <v>45000</v>
      </c>
      <c r="I15">
        <f t="shared" si="0"/>
        <v>204.54545454545453</v>
      </c>
      <c r="K15">
        <v>13</v>
      </c>
    </row>
    <row r="16" spans="2:15" x14ac:dyDescent="0.3">
      <c r="B16" s="8" t="s">
        <v>5</v>
      </c>
      <c r="C16" s="3">
        <v>33000</v>
      </c>
      <c r="D16" s="4" t="s">
        <v>44</v>
      </c>
      <c r="E16" s="5">
        <v>3300</v>
      </c>
      <c r="F16" s="6" t="s">
        <v>16</v>
      </c>
      <c r="H16">
        <f>(5*8000)+28000</f>
        <v>68000</v>
      </c>
      <c r="I16">
        <f t="shared" si="0"/>
        <v>206.06060606060606</v>
      </c>
      <c r="K16">
        <v>10</v>
      </c>
    </row>
    <row r="17" spans="2:11" x14ac:dyDescent="0.3">
      <c r="B17" s="8" t="s">
        <v>6</v>
      </c>
      <c r="C17" s="3">
        <v>55000</v>
      </c>
      <c r="D17" s="4" t="s">
        <v>43</v>
      </c>
      <c r="E17" s="5">
        <v>5500</v>
      </c>
      <c r="F17" s="6" t="s">
        <v>16</v>
      </c>
      <c r="H17">
        <f>(5*12000)+56000</f>
        <v>116000</v>
      </c>
      <c r="I17">
        <f t="shared" si="0"/>
        <v>210.90909090909088</v>
      </c>
      <c r="K17">
        <v>26</v>
      </c>
    </row>
    <row r="18" spans="2:11" x14ac:dyDescent="0.3">
      <c r="B18" s="8" t="s">
        <v>7</v>
      </c>
      <c r="C18" s="3">
        <v>88000</v>
      </c>
      <c r="D18" s="4" t="s">
        <v>41</v>
      </c>
      <c r="E18" s="5">
        <v>8800</v>
      </c>
      <c r="F18" s="6" t="s">
        <v>16</v>
      </c>
      <c r="H18">
        <f>(5*19000)+98000</f>
        <v>193000</v>
      </c>
      <c r="I18">
        <f t="shared" si="0"/>
        <v>219.31818181818184</v>
      </c>
      <c r="K18">
        <v>32</v>
      </c>
    </row>
    <row r="19" spans="2:11" x14ac:dyDescent="0.3">
      <c r="B19" s="8" t="s">
        <v>8</v>
      </c>
      <c r="C19" s="3">
        <v>110000</v>
      </c>
      <c r="D19" s="4" t="s">
        <v>40</v>
      </c>
      <c r="E19" s="5">
        <v>11000</v>
      </c>
      <c r="F19" s="6" t="s">
        <v>16</v>
      </c>
      <c r="H19">
        <f>(5*29000)+130000</f>
        <v>275000</v>
      </c>
      <c r="I19">
        <f t="shared" si="0"/>
        <v>250</v>
      </c>
      <c r="K19">
        <v>48</v>
      </c>
    </row>
    <row r="21" spans="2:11" x14ac:dyDescent="0.3">
      <c r="B21" s="8" t="s">
        <v>42</v>
      </c>
    </row>
    <row r="32" spans="2:11" x14ac:dyDescent="0.3">
      <c r="J32">
        <v>12000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BM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윤필훈</dc:creator>
  <cp:lastModifiedBy>chonextall</cp:lastModifiedBy>
  <dcterms:created xsi:type="dcterms:W3CDTF">2022-08-05T08:21:19Z</dcterms:created>
  <dcterms:modified xsi:type="dcterms:W3CDTF">2022-11-03T09:11:54Z</dcterms:modified>
</cp:coreProperties>
</file>