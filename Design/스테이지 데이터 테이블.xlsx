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onextall\Documents\death-crow\Design\"/>
    </mc:Choice>
  </mc:AlternateContent>
  <bookViews>
    <workbookView xWindow="0" yWindow="0" windowWidth="28800" windowHeight="11730" activeTab="3"/>
  </bookViews>
  <sheets>
    <sheet name="Currency" sheetId="2" r:id="rId1"/>
    <sheet name="Resource" sheetId="3" r:id="rId2"/>
    <sheet name="StageBase" sheetId="14" r:id="rId3"/>
    <sheet name="Stage" sheetId="1" r:id="rId4"/>
    <sheet name="Sheet1 (2)" sheetId="17" r:id="rId5"/>
    <sheet name="Sheet1" sheetId="15" r:id="rId6"/>
    <sheet name="StageReward" sheetId="11" r:id="rId7"/>
    <sheet name="Sheet2" sheetId="16" r:id="rId8"/>
    <sheet name="Monster" sheetId="10" r:id="rId9"/>
  </sheets>
  <definedNames>
    <definedName name="_xlnm._FilterDatabase" localSheetId="3" hidden="1">Stage!$A$1:$K$302</definedName>
    <definedName name="_xlnm._FilterDatabase" localSheetId="6" hidden="1">StageReward!$A$1:$J$302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7" l="1"/>
  <c r="I2" i="17"/>
  <c r="G2" i="17"/>
  <c r="K3" i="17" l="1"/>
  <c r="J3" i="17"/>
  <c r="K4" i="17" l="1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G4" i="17" l="1"/>
  <c r="H4" i="17"/>
  <c r="I4" i="17"/>
  <c r="J4" i="17"/>
  <c r="G5" i="17"/>
  <c r="H5" i="17"/>
  <c r="I5" i="17"/>
  <c r="J5" i="17"/>
  <c r="G6" i="17"/>
  <c r="H6" i="17"/>
  <c r="I6" i="17"/>
  <c r="J6" i="17"/>
  <c r="G7" i="17"/>
  <c r="H7" i="17"/>
  <c r="I7" i="17"/>
  <c r="J7" i="17"/>
  <c r="G8" i="17"/>
  <c r="H8" i="17"/>
  <c r="I8" i="17"/>
  <c r="J8" i="17"/>
  <c r="G9" i="17"/>
  <c r="H9" i="17"/>
  <c r="I9" i="17"/>
  <c r="J9" i="17"/>
  <c r="G10" i="17"/>
  <c r="H10" i="17"/>
  <c r="I10" i="17"/>
  <c r="J10" i="17"/>
  <c r="G11" i="17"/>
  <c r="H11" i="17"/>
  <c r="I11" i="17"/>
  <c r="J11" i="17"/>
  <c r="G12" i="17"/>
  <c r="H12" i="17"/>
  <c r="I12" i="17"/>
  <c r="J12" i="17"/>
  <c r="G13" i="17"/>
  <c r="H13" i="17"/>
  <c r="I13" i="17"/>
  <c r="J13" i="17"/>
  <c r="G14" i="17"/>
  <c r="H14" i="17"/>
  <c r="I14" i="17"/>
  <c r="J14" i="17"/>
  <c r="G15" i="17"/>
  <c r="H15" i="17"/>
  <c r="I15" i="17"/>
  <c r="J15" i="17"/>
  <c r="G16" i="17"/>
  <c r="H16" i="17"/>
  <c r="I16" i="17"/>
  <c r="J16" i="17"/>
  <c r="G17" i="17"/>
  <c r="H17" i="17"/>
  <c r="I17" i="17"/>
  <c r="J17" i="17"/>
  <c r="G18" i="17"/>
  <c r="H18" i="17"/>
  <c r="I18" i="17"/>
  <c r="J18" i="17"/>
  <c r="G19" i="17"/>
  <c r="H19" i="17"/>
  <c r="I19" i="17"/>
  <c r="J19" i="17"/>
  <c r="G20" i="17"/>
  <c r="H20" i="17"/>
  <c r="I20" i="17"/>
  <c r="J20" i="17"/>
  <c r="G21" i="17"/>
  <c r="H21" i="17"/>
  <c r="I21" i="17"/>
  <c r="J21" i="17"/>
  <c r="G22" i="17"/>
  <c r="H22" i="17"/>
  <c r="I22" i="17"/>
  <c r="J22" i="17"/>
  <c r="G23" i="17"/>
  <c r="H23" i="17"/>
  <c r="I23" i="17"/>
  <c r="J23" i="17"/>
  <c r="G24" i="17"/>
  <c r="H24" i="17"/>
  <c r="I24" i="17"/>
  <c r="J24" i="17"/>
  <c r="G25" i="17"/>
  <c r="H25" i="17"/>
  <c r="I25" i="17"/>
  <c r="J25" i="17"/>
  <c r="G26" i="17"/>
  <c r="H26" i="17"/>
  <c r="I26" i="17"/>
  <c r="J26" i="17"/>
  <c r="G27" i="17"/>
  <c r="H27" i="17"/>
  <c r="I27" i="17"/>
  <c r="J27" i="17"/>
  <c r="G28" i="17"/>
  <c r="H28" i="17"/>
  <c r="I28" i="17"/>
  <c r="J28" i="17"/>
  <c r="G29" i="17"/>
  <c r="H29" i="17"/>
  <c r="I29" i="17"/>
  <c r="J29" i="17"/>
  <c r="G30" i="17"/>
  <c r="H30" i="17"/>
  <c r="I30" i="17"/>
  <c r="J30" i="17"/>
  <c r="G31" i="17"/>
  <c r="H31" i="17"/>
  <c r="I31" i="17"/>
  <c r="J31" i="17"/>
  <c r="G32" i="17"/>
  <c r="H32" i="17"/>
  <c r="I32" i="17"/>
  <c r="J32" i="17"/>
  <c r="G33" i="17"/>
  <c r="H33" i="17"/>
  <c r="I33" i="17"/>
  <c r="J33" i="17"/>
  <c r="G34" i="17"/>
  <c r="H34" i="17"/>
  <c r="I34" i="17"/>
  <c r="J34" i="17"/>
  <c r="G35" i="17"/>
  <c r="H35" i="17"/>
  <c r="I35" i="17"/>
  <c r="J35" i="17"/>
  <c r="G36" i="17"/>
  <c r="H36" i="17"/>
  <c r="I36" i="17"/>
  <c r="J36" i="17"/>
  <c r="G37" i="17"/>
  <c r="H37" i="17"/>
  <c r="I37" i="17"/>
  <c r="J37" i="17"/>
  <c r="G38" i="17"/>
  <c r="H38" i="17"/>
  <c r="I38" i="17"/>
  <c r="J38" i="17"/>
  <c r="G39" i="17"/>
  <c r="H39" i="17"/>
  <c r="I39" i="17"/>
  <c r="J39" i="17"/>
  <c r="G40" i="17"/>
  <c r="H40" i="17"/>
  <c r="I40" i="17"/>
  <c r="J40" i="17"/>
  <c r="G41" i="17"/>
  <c r="H41" i="17"/>
  <c r="I41" i="17"/>
  <c r="J41" i="17"/>
  <c r="G42" i="17"/>
  <c r="H42" i="17"/>
  <c r="I42" i="17"/>
  <c r="J42" i="17"/>
  <c r="G43" i="17"/>
  <c r="H43" i="17"/>
  <c r="I43" i="17"/>
  <c r="J43" i="17"/>
  <c r="G44" i="17"/>
  <c r="H44" i="17"/>
  <c r="I44" i="17"/>
  <c r="J44" i="17"/>
  <c r="G45" i="17"/>
  <c r="H45" i="17"/>
  <c r="I45" i="17"/>
  <c r="J45" i="17"/>
  <c r="G46" i="17"/>
  <c r="H46" i="17"/>
  <c r="I46" i="17"/>
  <c r="J46" i="17"/>
  <c r="G47" i="17"/>
  <c r="H47" i="17"/>
  <c r="I47" i="17"/>
  <c r="J47" i="17"/>
  <c r="G48" i="17"/>
  <c r="H48" i="17"/>
  <c r="I48" i="17"/>
  <c r="J48" i="17"/>
  <c r="G49" i="17"/>
  <c r="H49" i="17"/>
  <c r="I49" i="17"/>
  <c r="J49" i="17"/>
  <c r="G50" i="17"/>
  <c r="H50" i="17"/>
  <c r="I50" i="17"/>
  <c r="J50" i="17"/>
  <c r="G51" i="17"/>
  <c r="H51" i="17"/>
  <c r="I51" i="17"/>
  <c r="J51" i="17"/>
  <c r="G52" i="17"/>
  <c r="H52" i="17"/>
  <c r="I52" i="17"/>
  <c r="J52" i="17"/>
  <c r="G53" i="17"/>
  <c r="H53" i="17"/>
  <c r="I53" i="17"/>
  <c r="J53" i="17"/>
  <c r="G54" i="17"/>
  <c r="H54" i="17"/>
  <c r="I54" i="17"/>
  <c r="J54" i="17"/>
  <c r="G55" i="17"/>
  <c r="H55" i="17"/>
  <c r="I55" i="17"/>
  <c r="J55" i="17"/>
  <c r="G56" i="17"/>
  <c r="H56" i="17"/>
  <c r="I56" i="17"/>
  <c r="J56" i="17"/>
  <c r="G57" i="17"/>
  <c r="H57" i="17"/>
  <c r="I57" i="17"/>
  <c r="J57" i="17"/>
  <c r="G58" i="17"/>
  <c r="H58" i="17"/>
  <c r="I58" i="17"/>
  <c r="J58" i="17"/>
  <c r="G59" i="17"/>
  <c r="H59" i="17"/>
  <c r="I59" i="17"/>
  <c r="J59" i="17"/>
  <c r="G60" i="17"/>
  <c r="H60" i="17"/>
  <c r="I60" i="17"/>
  <c r="J60" i="17"/>
  <c r="G61" i="17"/>
  <c r="H61" i="17"/>
  <c r="I61" i="17"/>
  <c r="J61" i="17"/>
  <c r="G62" i="17"/>
  <c r="H62" i="17"/>
  <c r="I62" i="17"/>
  <c r="J62" i="17"/>
  <c r="G63" i="17"/>
  <c r="H63" i="17"/>
  <c r="I63" i="17"/>
  <c r="J63" i="17"/>
  <c r="G64" i="17"/>
  <c r="H64" i="17"/>
  <c r="I64" i="17"/>
  <c r="J64" i="17"/>
  <c r="G65" i="17"/>
  <c r="H65" i="17"/>
  <c r="I65" i="17"/>
  <c r="J65" i="17"/>
  <c r="G66" i="17"/>
  <c r="H66" i="17"/>
  <c r="I66" i="17"/>
  <c r="J66" i="17"/>
  <c r="G67" i="17"/>
  <c r="H67" i="17"/>
  <c r="I67" i="17"/>
  <c r="J67" i="17"/>
  <c r="G68" i="17"/>
  <c r="H68" i="17"/>
  <c r="I68" i="17"/>
  <c r="J68" i="17"/>
  <c r="G69" i="17"/>
  <c r="H69" i="17"/>
  <c r="I69" i="17"/>
  <c r="J69" i="17"/>
  <c r="G70" i="17"/>
  <c r="H70" i="17"/>
  <c r="I70" i="17"/>
  <c r="J70" i="17"/>
  <c r="G71" i="17"/>
  <c r="H71" i="17"/>
  <c r="I71" i="17"/>
  <c r="J71" i="17"/>
  <c r="G72" i="17"/>
  <c r="H72" i="17"/>
  <c r="I72" i="17"/>
  <c r="J72" i="17"/>
  <c r="G73" i="17"/>
  <c r="H73" i="17"/>
  <c r="I73" i="17"/>
  <c r="J73" i="17"/>
  <c r="G74" i="17"/>
  <c r="H74" i="17"/>
  <c r="I74" i="17"/>
  <c r="J74" i="17"/>
  <c r="G75" i="17"/>
  <c r="H75" i="17"/>
  <c r="I75" i="17"/>
  <c r="J75" i="17"/>
  <c r="G76" i="17"/>
  <c r="H76" i="17"/>
  <c r="I76" i="17"/>
  <c r="J76" i="17"/>
  <c r="G77" i="17"/>
  <c r="H77" i="17"/>
  <c r="I77" i="17"/>
  <c r="J77" i="17"/>
  <c r="G78" i="17"/>
  <c r="H78" i="17"/>
  <c r="I78" i="17"/>
  <c r="J78" i="17"/>
  <c r="G79" i="17"/>
  <c r="H79" i="17"/>
  <c r="I79" i="17"/>
  <c r="J79" i="17"/>
  <c r="G80" i="17"/>
  <c r="H80" i="17"/>
  <c r="I80" i="17"/>
  <c r="J80" i="17"/>
  <c r="G81" i="17"/>
  <c r="H81" i="17"/>
  <c r="I81" i="17"/>
  <c r="J81" i="17"/>
  <c r="G82" i="17"/>
  <c r="H82" i="17"/>
  <c r="I82" i="17"/>
  <c r="J82" i="17"/>
  <c r="G83" i="17"/>
  <c r="H83" i="17"/>
  <c r="I83" i="17"/>
  <c r="J83" i="17"/>
  <c r="G84" i="17"/>
  <c r="H84" i="17"/>
  <c r="I84" i="17"/>
  <c r="J84" i="17"/>
  <c r="G85" i="17"/>
  <c r="H85" i="17"/>
  <c r="I85" i="17"/>
  <c r="J85" i="17"/>
  <c r="G86" i="17"/>
  <c r="H86" i="17"/>
  <c r="I86" i="17"/>
  <c r="J86" i="17"/>
  <c r="G87" i="17"/>
  <c r="H87" i="17"/>
  <c r="I87" i="17"/>
  <c r="J87" i="17"/>
  <c r="G88" i="17"/>
  <c r="H88" i="17"/>
  <c r="I88" i="17"/>
  <c r="J88" i="17"/>
  <c r="G89" i="17"/>
  <c r="H89" i="17"/>
  <c r="I89" i="17"/>
  <c r="J89" i="17"/>
  <c r="G90" i="17"/>
  <c r="H90" i="17"/>
  <c r="I90" i="17"/>
  <c r="J90" i="17"/>
  <c r="G91" i="17"/>
  <c r="H91" i="17"/>
  <c r="I91" i="17"/>
  <c r="J91" i="17"/>
  <c r="G92" i="17"/>
  <c r="H92" i="17"/>
  <c r="I92" i="17"/>
  <c r="J92" i="17"/>
  <c r="G93" i="17"/>
  <c r="H93" i="17"/>
  <c r="I93" i="17"/>
  <c r="J93" i="17"/>
  <c r="G94" i="17"/>
  <c r="H94" i="17"/>
  <c r="I94" i="17"/>
  <c r="J94" i="17"/>
  <c r="G95" i="17"/>
  <c r="H95" i="17"/>
  <c r="I95" i="17"/>
  <c r="J95" i="17"/>
  <c r="G96" i="17"/>
  <c r="H96" i="17"/>
  <c r="I96" i="17"/>
  <c r="J96" i="17"/>
  <c r="G97" i="17"/>
  <c r="H97" i="17"/>
  <c r="I97" i="17"/>
  <c r="J97" i="17"/>
  <c r="G98" i="17"/>
  <c r="H98" i="17"/>
  <c r="I98" i="17"/>
  <c r="J98" i="17"/>
  <c r="G99" i="17"/>
  <c r="H99" i="17"/>
  <c r="I99" i="17"/>
  <c r="J99" i="17"/>
  <c r="G100" i="17"/>
  <c r="H100" i="17"/>
  <c r="I100" i="17"/>
  <c r="J100" i="17"/>
  <c r="G101" i="17"/>
  <c r="H101" i="17"/>
  <c r="I101" i="17"/>
  <c r="J101" i="17"/>
  <c r="G102" i="17"/>
  <c r="H102" i="17"/>
  <c r="I102" i="17"/>
  <c r="J102" i="17"/>
  <c r="G103" i="17"/>
  <c r="H103" i="17"/>
  <c r="I103" i="17"/>
  <c r="J103" i="17"/>
  <c r="G104" i="17"/>
  <c r="H104" i="17"/>
  <c r="I104" i="17"/>
  <c r="J104" i="17"/>
  <c r="G105" i="17"/>
  <c r="H105" i="17"/>
  <c r="I105" i="17"/>
  <c r="J105" i="17"/>
  <c r="G106" i="17"/>
  <c r="H106" i="17"/>
  <c r="I106" i="17"/>
  <c r="J106" i="17"/>
  <c r="G107" i="17"/>
  <c r="H107" i="17"/>
  <c r="I107" i="17"/>
  <c r="J107" i="17"/>
  <c r="G108" i="17"/>
  <c r="H108" i="17"/>
  <c r="I108" i="17"/>
  <c r="J108" i="17"/>
  <c r="G109" i="17"/>
  <c r="H109" i="17"/>
  <c r="I109" i="17"/>
  <c r="J109" i="17"/>
  <c r="G110" i="17"/>
  <c r="H110" i="17"/>
  <c r="I110" i="17"/>
  <c r="J110" i="17"/>
  <c r="G111" i="17"/>
  <c r="H111" i="17"/>
  <c r="I111" i="17"/>
  <c r="J111" i="17"/>
  <c r="G112" i="17"/>
  <c r="H112" i="17"/>
  <c r="I112" i="17"/>
  <c r="J112" i="17"/>
  <c r="G113" i="17"/>
  <c r="H113" i="17"/>
  <c r="I113" i="17"/>
  <c r="J113" i="17"/>
  <c r="G114" i="17"/>
  <c r="H114" i="17"/>
  <c r="I114" i="17"/>
  <c r="J114" i="17"/>
  <c r="G115" i="17"/>
  <c r="H115" i="17"/>
  <c r="I115" i="17"/>
  <c r="J115" i="17"/>
  <c r="G116" i="17"/>
  <c r="H116" i="17"/>
  <c r="I116" i="17"/>
  <c r="J116" i="17"/>
  <c r="G117" i="17"/>
  <c r="H117" i="17"/>
  <c r="I117" i="17"/>
  <c r="J117" i="17"/>
  <c r="G118" i="17"/>
  <c r="H118" i="17"/>
  <c r="I118" i="17"/>
  <c r="J118" i="17"/>
  <c r="G119" i="17"/>
  <c r="H119" i="17"/>
  <c r="I119" i="17"/>
  <c r="J119" i="17"/>
  <c r="G120" i="17"/>
  <c r="H120" i="17"/>
  <c r="I120" i="17"/>
  <c r="J120" i="17"/>
  <c r="G121" i="17"/>
  <c r="H121" i="17"/>
  <c r="I121" i="17"/>
  <c r="J121" i="17"/>
  <c r="G122" i="17"/>
  <c r="H122" i="17"/>
  <c r="I122" i="17"/>
  <c r="J122" i="17"/>
  <c r="G123" i="17"/>
  <c r="H123" i="17"/>
  <c r="I123" i="17"/>
  <c r="J123" i="17"/>
  <c r="G124" i="17"/>
  <c r="H124" i="17"/>
  <c r="I124" i="17"/>
  <c r="J124" i="17"/>
  <c r="G125" i="17"/>
  <c r="H125" i="17"/>
  <c r="I125" i="17"/>
  <c r="J125" i="17"/>
  <c r="G126" i="17"/>
  <c r="H126" i="17"/>
  <c r="I126" i="17"/>
  <c r="J126" i="17"/>
  <c r="G127" i="17"/>
  <c r="H127" i="17"/>
  <c r="I127" i="17"/>
  <c r="J127" i="17"/>
  <c r="G128" i="17"/>
  <c r="H128" i="17"/>
  <c r="I128" i="17"/>
  <c r="J128" i="17"/>
  <c r="G129" i="17"/>
  <c r="H129" i="17"/>
  <c r="I129" i="17"/>
  <c r="J129" i="17"/>
  <c r="G130" i="17"/>
  <c r="H130" i="17"/>
  <c r="I130" i="17"/>
  <c r="J130" i="17"/>
  <c r="G131" i="17"/>
  <c r="H131" i="17"/>
  <c r="I131" i="17"/>
  <c r="J131" i="17"/>
  <c r="G132" i="17"/>
  <c r="H132" i="17"/>
  <c r="I132" i="17"/>
  <c r="J132" i="17"/>
  <c r="G133" i="17"/>
  <c r="H133" i="17"/>
  <c r="I133" i="17"/>
  <c r="J133" i="17"/>
  <c r="G134" i="17"/>
  <c r="H134" i="17"/>
  <c r="I134" i="17"/>
  <c r="J134" i="17"/>
  <c r="G135" i="17"/>
  <c r="H135" i="17"/>
  <c r="I135" i="17"/>
  <c r="J135" i="17"/>
  <c r="G136" i="17"/>
  <c r="H136" i="17"/>
  <c r="I136" i="17"/>
  <c r="J136" i="17"/>
  <c r="G137" i="17"/>
  <c r="H137" i="17"/>
  <c r="I137" i="17"/>
  <c r="J137" i="17"/>
  <c r="G138" i="17"/>
  <c r="H138" i="17"/>
  <c r="I138" i="17"/>
  <c r="J138" i="17"/>
  <c r="G139" i="17"/>
  <c r="H139" i="17"/>
  <c r="I139" i="17"/>
  <c r="J139" i="17"/>
  <c r="G140" i="17"/>
  <c r="H140" i="17"/>
  <c r="I140" i="17"/>
  <c r="J140" i="17"/>
  <c r="G141" i="17"/>
  <c r="H141" i="17"/>
  <c r="I141" i="17"/>
  <c r="J141" i="17"/>
  <c r="G142" i="17"/>
  <c r="H142" i="17"/>
  <c r="I142" i="17"/>
  <c r="J142" i="17"/>
  <c r="G143" i="17"/>
  <c r="H143" i="17"/>
  <c r="I143" i="17"/>
  <c r="J143" i="17"/>
  <c r="G144" i="17"/>
  <c r="H144" i="17"/>
  <c r="I144" i="17"/>
  <c r="J144" i="17"/>
  <c r="G145" i="17"/>
  <c r="H145" i="17"/>
  <c r="I145" i="17"/>
  <c r="J145" i="17"/>
  <c r="G146" i="17"/>
  <c r="H146" i="17"/>
  <c r="I146" i="17"/>
  <c r="J146" i="17"/>
  <c r="G147" i="17"/>
  <c r="H147" i="17"/>
  <c r="I147" i="17"/>
  <c r="J147" i="17"/>
  <c r="G148" i="17"/>
  <c r="H148" i="17"/>
  <c r="I148" i="17"/>
  <c r="J148" i="17"/>
  <c r="G149" i="17"/>
  <c r="H149" i="17"/>
  <c r="I149" i="17"/>
  <c r="J149" i="17"/>
  <c r="G150" i="17"/>
  <c r="H150" i="17"/>
  <c r="I150" i="17"/>
  <c r="J150" i="17"/>
  <c r="G151" i="17"/>
  <c r="H151" i="17"/>
  <c r="I151" i="17"/>
  <c r="J151" i="17"/>
  <c r="G152" i="17"/>
  <c r="H152" i="17"/>
  <c r="I152" i="17"/>
  <c r="J152" i="17"/>
  <c r="G153" i="17"/>
  <c r="H153" i="17"/>
  <c r="I153" i="17"/>
  <c r="J153" i="17"/>
  <c r="G154" i="17"/>
  <c r="H154" i="17"/>
  <c r="I154" i="17"/>
  <c r="J154" i="17"/>
  <c r="G155" i="17"/>
  <c r="H155" i="17"/>
  <c r="I155" i="17"/>
  <c r="J155" i="17"/>
  <c r="G156" i="17"/>
  <c r="H156" i="17"/>
  <c r="I156" i="17"/>
  <c r="J156" i="17"/>
  <c r="G157" i="17"/>
  <c r="H157" i="17"/>
  <c r="I157" i="17"/>
  <c r="J157" i="17"/>
  <c r="G158" i="17"/>
  <c r="H158" i="17"/>
  <c r="I158" i="17"/>
  <c r="J158" i="17"/>
  <c r="G159" i="17"/>
  <c r="H159" i="17"/>
  <c r="I159" i="17"/>
  <c r="J159" i="17"/>
  <c r="G160" i="17"/>
  <c r="H160" i="17"/>
  <c r="I160" i="17"/>
  <c r="J160" i="17"/>
  <c r="G161" i="17"/>
  <c r="H161" i="17"/>
  <c r="I161" i="17"/>
  <c r="J161" i="17"/>
  <c r="G162" i="17"/>
  <c r="H162" i="17"/>
  <c r="I162" i="17"/>
  <c r="J162" i="17"/>
  <c r="G163" i="17"/>
  <c r="H163" i="17"/>
  <c r="I163" i="17"/>
  <c r="J163" i="17"/>
  <c r="G164" i="17"/>
  <c r="H164" i="17"/>
  <c r="I164" i="17"/>
  <c r="J164" i="17"/>
  <c r="G165" i="17"/>
  <c r="H165" i="17"/>
  <c r="I165" i="17"/>
  <c r="J165" i="17"/>
  <c r="G166" i="17"/>
  <c r="H166" i="17"/>
  <c r="I166" i="17"/>
  <c r="J166" i="17"/>
  <c r="G167" i="17"/>
  <c r="H167" i="17"/>
  <c r="I167" i="17"/>
  <c r="J167" i="17"/>
  <c r="G168" i="17"/>
  <c r="H168" i="17"/>
  <c r="I168" i="17"/>
  <c r="J168" i="17"/>
  <c r="G169" i="17"/>
  <c r="H169" i="17"/>
  <c r="I169" i="17"/>
  <c r="J169" i="17"/>
  <c r="G170" i="17"/>
  <c r="H170" i="17"/>
  <c r="I170" i="17"/>
  <c r="J170" i="17"/>
  <c r="G171" i="17"/>
  <c r="H171" i="17"/>
  <c r="I171" i="17"/>
  <c r="J171" i="17"/>
  <c r="G172" i="17"/>
  <c r="H172" i="17"/>
  <c r="I172" i="17"/>
  <c r="J172" i="17"/>
  <c r="G173" i="17"/>
  <c r="H173" i="17"/>
  <c r="I173" i="17"/>
  <c r="J173" i="17"/>
  <c r="G174" i="17"/>
  <c r="H174" i="17"/>
  <c r="I174" i="17"/>
  <c r="J174" i="17"/>
  <c r="G175" i="17"/>
  <c r="H175" i="17"/>
  <c r="I175" i="17"/>
  <c r="J175" i="17"/>
  <c r="G176" i="17"/>
  <c r="H176" i="17"/>
  <c r="I176" i="17"/>
  <c r="J176" i="17"/>
  <c r="G177" i="17"/>
  <c r="H177" i="17"/>
  <c r="I177" i="17"/>
  <c r="J177" i="17"/>
  <c r="G178" i="17"/>
  <c r="H178" i="17"/>
  <c r="I178" i="17"/>
  <c r="J178" i="17"/>
  <c r="G179" i="17"/>
  <c r="H179" i="17"/>
  <c r="I179" i="17"/>
  <c r="J179" i="17"/>
  <c r="G180" i="17"/>
  <c r="H180" i="17"/>
  <c r="I180" i="17"/>
  <c r="J180" i="17"/>
  <c r="G181" i="17"/>
  <c r="H181" i="17"/>
  <c r="I181" i="17"/>
  <c r="J181" i="17"/>
  <c r="G182" i="17"/>
  <c r="H182" i="17"/>
  <c r="I182" i="17"/>
  <c r="J182" i="17"/>
  <c r="G183" i="17"/>
  <c r="H183" i="17"/>
  <c r="I183" i="17"/>
  <c r="J183" i="17"/>
  <c r="G184" i="17"/>
  <c r="H184" i="17"/>
  <c r="I184" i="17"/>
  <c r="J184" i="17"/>
  <c r="G185" i="17"/>
  <c r="H185" i="17"/>
  <c r="I185" i="17"/>
  <c r="J185" i="17"/>
  <c r="G186" i="17"/>
  <c r="H186" i="17"/>
  <c r="I186" i="17"/>
  <c r="J186" i="17"/>
  <c r="G187" i="17"/>
  <c r="H187" i="17"/>
  <c r="I187" i="17"/>
  <c r="J187" i="17"/>
  <c r="G188" i="17"/>
  <c r="H188" i="17"/>
  <c r="I188" i="17"/>
  <c r="J188" i="17"/>
  <c r="G189" i="17"/>
  <c r="H189" i="17"/>
  <c r="I189" i="17"/>
  <c r="J189" i="17"/>
  <c r="G190" i="17"/>
  <c r="H190" i="17"/>
  <c r="I190" i="17"/>
  <c r="J190" i="17"/>
  <c r="G191" i="17"/>
  <c r="H191" i="17"/>
  <c r="I191" i="17"/>
  <c r="J191" i="17"/>
  <c r="G192" i="17"/>
  <c r="H192" i="17"/>
  <c r="I192" i="17"/>
  <c r="J192" i="17"/>
  <c r="G193" i="17"/>
  <c r="H193" i="17"/>
  <c r="I193" i="17"/>
  <c r="J193" i="17"/>
  <c r="G194" i="17"/>
  <c r="H194" i="17"/>
  <c r="I194" i="17"/>
  <c r="J194" i="17"/>
  <c r="G195" i="17"/>
  <c r="H195" i="17"/>
  <c r="I195" i="17"/>
  <c r="J195" i="17"/>
  <c r="G196" i="17"/>
  <c r="H196" i="17"/>
  <c r="I196" i="17"/>
  <c r="J196" i="17"/>
  <c r="G197" i="17"/>
  <c r="H197" i="17"/>
  <c r="I197" i="17"/>
  <c r="J197" i="17"/>
  <c r="G198" i="17"/>
  <c r="H198" i="17"/>
  <c r="I198" i="17"/>
  <c r="J198" i="17"/>
  <c r="G199" i="17"/>
  <c r="H199" i="17"/>
  <c r="I199" i="17"/>
  <c r="J199" i="17"/>
  <c r="G200" i="17"/>
  <c r="H200" i="17"/>
  <c r="I200" i="17"/>
  <c r="J200" i="17"/>
  <c r="G201" i="17"/>
  <c r="H201" i="17"/>
  <c r="I201" i="17"/>
  <c r="J201" i="17"/>
  <c r="G202" i="17"/>
  <c r="H202" i="17"/>
  <c r="I202" i="17"/>
  <c r="J202" i="17"/>
  <c r="G203" i="17"/>
  <c r="H203" i="17"/>
  <c r="I203" i="17"/>
  <c r="J203" i="17"/>
  <c r="G204" i="17"/>
  <c r="H204" i="17"/>
  <c r="I204" i="17"/>
  <c r="J204" i="17"/>
  <c r="G205" i="17"/>
  <c r="H205" i="17"/>
  <c r="I205" i="17"/>
  <c r="J205" i="17"/>
  <c r="G206" i="17"/>
  <c r="H206" i="17"/>
  <c r="I206" i="17"/>
  <c r="J206" i="17"/>
  <c r="G207" i="17"/>
  <c r="H207" i="17"/>
  <c r="I207" i="17"/>
  <c r="J207" i="17"/>
  <c r="G208" i="17"/>
  <c r="H208" i="17"/>
  <c r="I208" i="17"/>
  <c r="J208" i="17"/>
  <c r="G209" i="17"/>
  <c r="H209" i="17"/>
  <c r="I209" i="17"/>
  <c r="J209" i="17"/>
  <c r="G210" i="17"/>
  <c r="H210" i="17"/>
  <c r="I210" i="17"/>
  <c r="J210" i="17"/>
  <c r="G211" i="17"/>
  <c r="H211" i="17"/>
  <c r="I211" i="17"/>
  <c r="J211" i="17"/>
  <c r="G212" i="17"/>
  <c r="H212" i="17"/>
  <c r="I212" i="17"/>
  <c r="J212" i="17"/>
  <c r="G213" i="17"/>
  <c r="H213" i="17"/>
  <c r="I213" i="17"/>
  <c r="J213" i="17"/>
  <c r="G214" i="17"/>
  <c r="H214" i="17"/>
  <c r="I214" i="17"/>
  <c r="J214" i="17"/>
  <c r="G215" i="17"/>
  <c r="H215" i="17"/>
  <c r="I215" i="17"/>
  <c r="J215" i="17"/>
  <c r="G216" i="17"/>
  <c r="H216" i="17"/>
  <c r="I216" i="17"/>
  <c r="J216" i="17"/>
  <c r="G217" i="17"/>
  <c r="H217" i="17"/>
  <c r="I217" i="17"/>
  <c r="J217" i="17"/>
  <c r="G218" i="17"/>
  <c r="H218" i="17"/>
  <c r="I218" i="17"/>
  <c r="J218" i="17"/>
  <c r="G219" i="17"/>
  <c r="H219" i="17"/>
  <c r="I219" i="17"/>
  <c r="J219" i="17"/>
  <c r="G220" i="17"/>
  <c r="H220" i="17"/>
  <c r="I220" i="17"/>
  <c r="J220" i="17"/>
  <c r="G221" i="17"/>
  <c r="H221" i="17"/>
  <c r="I221" i="17"/>
  <c r="J221" i="17"/>
  <c r="G222" i="17"/>
  <c r="H222" i="17"/>
  <c r="I222" i="17"/>
  <c r="J222" i="17"/>
  <c r="G223" i="17"/>
  <c r="H223" i="17"/>
  <c r="I223" i="17"/>
  <c r="J223" i="17"/>
  <c r="G224" i="17"/>
  <c r="H224" i="17"/>
  <c r="I224" i="17"/>
  <c r="J224" i="17"/>
  <c r="G225" i="17"/>
  <c r="H225" i="17"/>
  <c r="I225" i="17"/>
  <c r="J225" i="17"/>
  <c r="G226" i="17"/>
  <c r="H226" i="17"/>
  <c r="I226" i="17"/>
  <c r="J226" i="17"/>
  <c r="G227" i="17"/>
  <c r="H227" i="17"/>
  <c r="I227" i="17"/>
  <c r="J227" i="17"/>
  <c r="G228" i="17"/>
  <c r="H228" i="17"/>
  <c r="I228" i="17"/>
  <c r="J228" i="17"/>
  <c r="G229" i="17"/>
  <c r="H229" i="17"/>
  <c r="I229" i="17"/>
  <c r="J229" i="17"/>
  <c r="G230" i="17"/>
  <c r="H230" i="17"/>
  <c r="I230" i="17"/>
  <c r="J230" i="17"/>
  <c r="G231" i="17"/>
  <c r="H231" i="17"/>
  <c r="I231" i="17"/>
  <c r="J231" i="17"/>
  <c r="G232" i="17"/>
  <c r="H232" i="17"/>
  <c r="I232" i="17"/>
  <c r="J232" i="17"/>
  <c r="G233" i="17"/>
  <c r="H233" i="17"/>
  <c r="I233" i="17"/>
  <c r="J233" i="17"/>
  <c r="G234" i="17"/>
  <c r="H234" i="17"/>
  <c r="I234" i="17"/>
  <c r="J234" i="17"/>
  <c r="G235" i="17"/>
  <c r="H235" i="17"/>
  <c r="I235" i="17"/>
  <c r="J235" i="17"/>
  <c r="G236" i="17"/>
  <c r="H236" i="17"/>
  <c r="I236" i="17"/>
  <c r="J236" i="17"/>
  <c r="G237" i="17"/>
  <c r="H237" i="17"/>
  <c r="I237" i="17"/>
  <c r="J237" i="17"/>
  <c r="G238" i="17"/>
  <c r="H238" i="17"/>
  <c r="I238" i="17"/>
  <c r="J238" i="17"/>
  <c r="G239" i="17"/>
  <c r="H239" i="17"/>
  <c r="I239" i="17"/>
  <c r="J239" i="17"/>
  <c r="G240" i="17"/>
  <c r="H240" i="17"/>
  <c r="I240" i="17"/>
  <c r="J240" i="17"/>
  <c r="G241" i="17"/>
  <c r="H241" i="17"/>
  <c r="I241" i="17"/>
  <c r="J241" i="17"/>
  <c r="G242" i="17"/>
  <c r="H242" i="17"/>
  <c r="I242" i="17"/>
  <c r="J242" i="17"/>
  <c r="G243" i="17"/>
  <c r="H243" i="17"/>
  <c r="I243" i="17"/>
  <c r="J243" i="17"/>
  <c r="G244" i="17"/>
  <c r="H244" i="17"/>
  <c r="I244" i="17"/>
  <c r="J244" i="17"/>
  <c r="G245" i="17"/>
  <c r="H245" i="17"/>
  <c r="I245" i="17"/>
  <c r="J245" i="17"/>
  <c r="G246" i="17"/>
  <c r="H246" i="17"/>
  <c r="I246" i="17"/>
  <c r="J246" i="17"/>
  <c r="G247" i="17"/>
  <c r="H247" i="17"/>
  <c r="I247" i="17"/>
  <c r="J247" i="17"/>
  <c r="G248" i="17"/>
  <c r="H248" i="17"/>
  <c r="I248" i="17"/>
  <c r="J248" i="17"/>
  <c r="G249" i="17"/>
  <c r="H249" i="17"/>
  <c r="I249" i="17"/>
  <c r="J249" i="17"/>
  <c r="G250" i="17"/>
  <c r="H250" i="17"/>
  <c r="I250" i="17"/>
  <c r="J250" i="17"/>
  <c r="G251" i="17"/>
  <c r="H251" i="17"/>
  <c r="I251" i="17"/>
  <c r="J251" i="17"/>
  <c r="G252" i="17"/>
  <c r="H252" i="17"/>
  <c r="I252" i="17"/>
  <c r="J252" i="17"/>
  <c r="G253" i="17"/>
  <c r="H253" i="17"/>
  <c r="I253" i="17"/>
  <c r="J253" i="17"/>
  <c r="G254" i="17"/>
  <c r="H254" i="17"/>
  <c r="I254" i="17"/>
  <c r="J254" i="17"/>
  <c r="G255" i="17"/>
  <c r="H255" i="17"/>
  <c r="I255" i="17"/>
  <c r="J255" i="17"/>
  <c r="G256" i="17"/>
  <c r="H256" i="17"/>
  <c r="I256" i="17"/>
  <c r="J256" i="17"/>
  <c r="G257" i="17"/>
  <c r="H257" i="17"/>
  <c r="I257" i="17"/>
  <c r="J257" i="17"/>
  <c r="G258" i="17"/>
  <c r="H258" i="17"/>
  <c r="I258" i="17"/>
  <c r="J258" i="17"/>
  <c r="G259" i="17"/>
  <c r="H259" i="17"/>
  <c r="I259" i="17"/>
  <c r="J259" i="17"/>
  <c r="G260" i="17"/>
  <c r="H260" i="17"/>
  <c r="I260" i="17"/>
  <c r="J260" i="17"/>
  <c r="G261" i="17"/>
  <c r="H261" i="17"/>
  <c r="I261" i="17"/>
  <c r="J261" i="17"/>
  <c r="G262" i="17"/>
  <c r="H262" i="17"/>
  <c r="I262" i="17"/>
  <c r="J262" i="17"/>
  <c r="G263" i="17"/>
  <c r="H263" i="17"/>
  <c r="I263" i="17"/>
  <c r="J263" i="17"/>
  <c r="G264" i="17"/>
  <c r="H264" i="17"/>
  <c r="I264" i="17"/>
  <c r="J264" i="17"/>
  <c r="G265" i="17"/>
  <c r="H265" i="17"/>
  <c r="I265" i="17"/>
  <c r="J265" i="17"/>
  <c r="G266" i="17"/>
  <c r="H266" i="17"/>
  <c r="I266" i="17"/>
  <c r="J266" i="17"/>
  <c r="G267" i="17"/>
  <c r="H267" i="17"/>
  <c r="I267" i="17"/>
  <c r="J267" i="17"/>
  <c r="G268" i="17"/>
  <c r="H268" i="17"/>
  <c r="I268" i="17"/>
  <c r="J268" i="17"/>
  <c r="G269" i="17"/>
  <c r="H269" i="17"/>
  <c r="I269" i="17"/>
  <c r="J269" i="17"/>
  <c r="G270" i="17"/>
  <c r="H270" i="17"/>
  <c r="I270" i="17"/>
  <c r="J270" i="17"/>
  <c r="G271" i="17"/>
  <c r="H271" i="17"/>
  <c r="I271" i="17"/>
  <c r="J271" i="17"/>
  <c r="G272" i="17"/>
  <c r="H272" i="17"/>
  <c r="I272" i="17"/>
  <c r="J272" i="17"/>
  <c r="G273" i="17"/>
  <c r="H273" i="17"/>
  <c r="I273" i="17"/>
  <c r="J273" i="17"/>
  <c r="G274" i="17"/>
  <c r="H274" i="17"/>
  <c r="I274" i="17"/>
  <c r="J274" i="17"/>
  <c r="G275" i="17"/>
  <c r="H275" i="17"/>
  <c r="I275" i="17"/>
  <c r="J275" i="17"/>
  <c r="G276" i="17"/>
  <c r="H276" i="17"/>
  <c r="I276" i="17"/>
  <c r="J276" i="17"/>
  <c r="G277" i="17"/>
  <c r="H277" i="17"/>
  <c r="I277" i="17"/>
  <c r="J277" i="17"/>
  <c r="G278" i="17"/>
  <c r="H278" i="17"/>
  <c r="I278" i="17"/>
  <c r="J278" i="17"/>
  <c r="G279" i="17"/>
  <c r="H279" i="17"/>
  <c r="I279" i="17"/>
  <c r="J279" i="17"/>
  <c r="G280" i="17"/>
  <c r="H280" i="17"/>
  <c r="I280" i="17"/>
  <c r="J280" i="17"/>
  <c r="G281" i="17"/>
  <c r="H281" i="17"/>
  <c r="I281" i="17"/>
  <c r="J281" i="17"/>
  <c r="G282" i="17"/>
  <c r="H282" i="17"/>
  <c r="I282" i="17"/>
  <c r="J282" i="17"/>
  <c r="G283" i="17"/>
  <c r="H283" i="17"/>
  <c r="I283" i="17"/>
  <c r="J283" i="17"/>
  <c r="G284" i="17"/>
  <c r="H284" i="17"/>
  <c r="I284" i="17"/>
  <c r="J284" i="17"/>
  <c r="G285" i="17"/>
  <c r="H285" i="17"/>
  <c r="I285" i="17"/>
  <c r="J285" i="17"/>
  <c r="G286" i="17"/>
  <c r="H286" i="17"/>
  <c r="I286" i="17"/>
  <c r="J286" i="17"/>
  <c r="G287" i="17"/>
  <c r="H287" i="17"/>
  <c r="I287" i="17"/>
  <c r="J287" i="17"/>
  <c r="G288" i="17"/>
  <c r="H288" i="17"/>
  <c r="I288" i="17"/>
  <c r="J288" i="17"/>
  <c r="G289" i="17"/>
  <c r="H289" i="17"/>
  <c r="I289" i="17"/>
  <c r="J289" i="17"/>
  <c r="G290" i="17"/>
  <c r="H290" i="17"/>
  <c r="I290" i="17"/>
  <c r="J290" i="17"/>
  <c r="G291" i="17"/>
  <c r="H291" i="17"/>
  <c r="I291" i="17"/>
  <c r="J291" i="17"/>
  <c r="G292" i="17"/>
  <c r="H292" i="17"/>
  <c r="I292" i="17"/>
  <c r="J292" i="17"/>
  <c r="G293" i="17"/>
  <c r="H293" i="17"/>
  <c r="I293" i="17"/>
  <c r="J293" i="17"/>
  <c r="G294" i="17"/>
  <c r="H294" i="17"/>
  <c r="I294" i="17"/>
  <c r="J294" i="17"/>
  <c r="G295" i="17"/>
  <c r="H295" i="17"/>
  <c r="I295" i="17"/>
  <c r="J295" i="17"/>
  <c r="G296" i="17"/>
  <c r="H296" i="17"/>
  <c r="I296" i="17"/>
  <c r="J296" i="17"/>
  <c r="G297" i="17"/>
  <c r="H297" i="17"/>
  <c r="I297" i="17"/>
  <c r="J297" i="17"/>
  <c r="G298" i="17"/>
  <c r="H298" i="17"/>
  <c r="I298" i="17"/>
  <c r="J298" i="17"/>
  <c r="G299" i="17"/>
  <c r="H299" i="17"/>
  <c r="I299" i="17"/>
  <c r="J299" i="17"/>
  <c r="G300" i="17"/>
  <c r="H300" i="17"/>
  <c r="I300" i="17"/>
  <c r="J300" i="17"/>
  <c r="G301" i="17"/>
  <c r="H301" i="17"/>
  <c r="I301" i="17"/>
  <c r="J301" i="17"/>
  <c r="G302" i="17"/>
  <c r="H302" i="17"/>
  <c r="I302" i="17"/>
  <c r="J302" i="17"/>
  <c r="H3" i="17"/>
  <c r="I3" i="17"/>
  <c r="G3" i="17"/>
  <c r="H301" i="1" l="1"/>
  <c r="H281" i="1"/>
  <c r="H261" i="1"/>
  <c r="H241" i="1"/>
  <c r="H221" i="1"/>
  <c r="H201" i="1"/>
  <c r="H181" i="1"/>
  <c r="H161" i="1"/>
  <c r="H141" i="1"/>
  <c r="H121" i="1"/>
  <c r="H101" i="1"/>
  <c r="H81" i="1"/>
  <c r="H61" i="1"/>
  <c r="H41" i="1"/>
  <c r="H21" i="1"/>
  <c r="Q11" i="16" l="1"/>
  <c r="L7" i="16"/>
  <c r="D4" i="11"/>
  <c r="D5" i="11" s="1"/>
  <c r="D6" i="11" s="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D256" i="11" s="1"/>
  <c r="D257" i="11" s="1"/>
  <c r="D258" i="11" s="1"/>
  <c r="D259" i="11" s="1"/>
  <c r="D260" i="11" s="1"/>
  <c r="D261" i="11" s="1"/>
  <c r="D262" i="11" s="1"/>
  <c r="D263" i="11" s="1"/>
  <c r="D264" i="11" s="1"/>
  <c r="D265" i="11" s="1"/>
  <c r="D266" i="11" s="1"/>
  <c r="D267" i="11" s="1"/>
  <c r="D268" i="11" s="1"/>
  <c r="D269" i="11" s="1"/>
  <c r="D270" i="11" s="1"/>
  <c r="D271" i="11" s="1"/>
  <c r="D272" i="11" s="1"/>
  <c r="D273" i="11" s="1"/>
  <c r="D274" i="11" s="1"/>
  <c r="D275" i="11" s="1"/>
  <c r="D276" i="11" s="1"/>
  <c r="D277" i="11" s="1"/>
  <c r="D278" i="11" s="1"/>
  <c r="D279" i="11" s="1"/>
  <c r="D280" i="11" s="1"/>
  <c r="D281" i="11" s="1"/>
  <c r="D282" i="11" s="1"/>
  <c r="D283" i="11" s="1"/>
  <c r="D284" i="11" s="1"/>
  <c r="D285" i="11" s="1"/>
  <c r="D286" i="11" s="1"/>
  <c r="D287" i="11" s="1"/>
  <c r="D288" i="11" s="1"/>
  <c r="D289" i="11" s="1"/>
  <c r="D290" i="11" s="1"/>
  <c r="D291" i="11" s="1"/>
  <c r="D292" i="11" s="1"/>
  <c r="D293" i="11" s="1"/>
  <c r="D294" i="11" s="1"/>
  <c r="D295" i="11" s="1"/>
  <c r="D296" i="11" s="1"/>
  <c r="D297" i="11" s="1"/>
  <c r="D298" i="11" s="1"/>
  <c r="D299" i="11" s="1"/>
  <c r="D300" i="11" s="1"/>
  <c r="D301" i="11" s="1"/>
  <c r="D302" i="11" s="1"/>
  <c r="D3" i="11"/>
  <c r="Q10" i="16"/>
  <c r="Q9" i="16"/>
  <c r="Q8" i="16"/>
  <c r="N7" i="16"/>
  <c r="M7" i="16" l="1"/>
  <c r="M8" i="16" s="1"/>
  <c r="L8" i="16" l="1"/>
  <c r="I301" i="1" l="1"/>
  <c r="I281" i="1"/>
  <c r="I261" i="1"/>
  <c r="I241" i="1"/>
  <c r="I221" i="1"/>
  <c r="I201" i="1"/>
  <c r="I181" i="1"/>
  <c r="I161" i="1"/>
  <c r="I141" i="1"/>
  <c r="I121" i="1"/>
  <c r="I101" i="1"/>
  <c r="I81" i="1"/>
  <c r="I61" i="1"/>
  <c r="I41" i="1"/>
  <c r="I21" i="1"/>
  <c r="J4" i="15" l="1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" i="15"/>
  <c r="G204" i="15" l="1"/>
  <c r="H204" i="15"/>
  <c r="I204" i="15"/>
  <c r="G205" i="15"/>
  <c r="H205" i="15"/>
  <c r="I205" i="15"/>
  <c r="G206" i="15"/>
  <c r="H206" i="15"/>
  <c r="I206" i="15"/>
  <c r="G207" i="15"/>
  <c r="H207" i="15"/>
  <c r="I207" i="15"/>
  <c r="G208" i="15"/>
  <c r="H208" i="15"/>
  <c r="I208" i="15"/>
  <c r="G209" i="15"/>
  <c r="H209" i="15"/>
  <c r="I209" i="15"/>
  <c r="G210" i="15"/>
  <c r="H210" i="15"/>
  <c r="I210" i="15"/>
  <c r="G211" i="15"/>
  <c r="H211" i="15"/>
  <c r="I211" i="15"/>
  <c r="G212" i="15"/>
  <c r="H212" i="15"/>
  <c r="I212" i="15"/>
  <c r="G213" i="15"/>
  <c r="H213" i="15"/>
  <c r="I213" i="15"/>
  <c r="G214" i="15"/>
  <c r="H214" i="15"/>
  <c r="I214" i="15"/>
  <c r="G215" i="15"/>
  <c r="H215" i="15"/>
  <c r="I215" i="15"/>
  <c r="G216" i="15"/>
  <c r="H216" i="15"/>
  <c r="I216" i="15"/>
  <c r="G217" i="15"/>
  <c r="H217" i="15"/>
  <c r="I217" i="15"/>
  <c r="G218" i="15"/>
  <c r="H218" i="15"/>
  <c r="I218" i="15"/>
  <c r="G219" i="15"/>
  <c r="H219" i="15"/>
  <c r="I219" i="15"/>
  <c r="G220" i="15"/>
  <c r="H220" i="15"/>
  <c r="I220" i="15"/>
  <c r="G221" i="15"/>
  <c r="H221" i="15"/>
  <c r="I221" i="15"/>
  <c r="G222" i="15"/>
  <c r="H222" i="15"/>
  <c r="I222" i="15"/>
  <c r="G223" i="15"/>
  <c r="H223" i="15"/>
  <c r="I223" i="15"/>
  <c r="G224" i="15"/>
  <c r="H224" i="15"/>
  <c r="I224" i="15"/>
  <c r="G225" i="15"/>
  <c r="H225" i="15"/>
  <c r="I225" i="15"/>
  <c r="G226" i="15"/>
  <c r="H226" i="15"/>
  <c r="I226" i="15"/>
  <c r="G227" i="15"/>
  <c r="H227" i="15"/>
  <c r="I227" i="15"/>
  <c r="G228" i="15"/>
  <c r="H228" i="15"/>
  <c r="I228" i="15"/>
  <c r="G229" i="15"/>
  <c r="H229" i="15"/>
  <c r="I229" i="15"/>
  <c r="G230" i="15"/>
  <c r="H230" i="15"/>
  <c r="I230" i="15"/>
  <c r="G231" i="15"/>
  <c r="H231" i="15"/>
  <c r="I231" i="15"/>
  <c r="G232" i="15"/>
  <c r="H232" i="15"/>
  <c r="I232" i="15"/>
  <c r="G233" i="15"/>
  <c r="H233" i="15"/>
  <c r="I233" i="15"/>
  <c r="G234" i="15"/>
  <c r="H234" i="15"/>
  <c r="I234" i="15"/>
  <c r="G235" i="15"/>
  <c r="H235" i="15"/>
  <c r="I235" i="15"/>
  <c r="G236" i="15"/>
  <c r="H236" i="15"/>
  <c r="I236" i="15"/>
  <c r="G237" i="15"/>
  <c r="H237" i="15"/>
  <c r="I237" i="15"/>
  <c r="G238" i="15"/>
  <c r="H238" i="15"/>
  <c r="I238" i="15"/>
  <c r="G239" i="15"/>
  <c r="H239" i="15"/>
  <c r="I239" i="15"/>
  <c r="G240" i="15"/>
  <c r="H240" i="15"/>
  <c r="I240" i="15"/>
  <c r="G241" i="15"/>
  <c r="H241" i="15"/>
  <c r="I241" i="15"/>
  <c r="G242" i="15"/>
  <c r="H242" i="15"/>
  <c r="I242" i="15"/>
  <c r="G243" i="15"/>
  <c r="H243" i="15"/>
  <c r="I243" i="15"/>
  <c r="G244" i="15"/>
  <c r="H244" i="15"/>
  <c r="I244" i="15"/>
  <c r="G245" i="15"/>
  <c r="H245" i="15"/>
  <c r="I245" i="15"/>
  <c r="G246" i="15"/>
  <c r="H246" i="15"/>
  <c r="I246" i="15"/>
  <c r="G247" i="15"/>
  <c r="H247" i="15"/>
  <c r="I247" i="15"/>
  <c r="G248" i="15"/>
  <c r="H248" i="15"/>
  <c r="I248" i="15"/>
  <c r="G249" i="15"/>
  <c r="H249" i="15"/>
  <c r="I249" i="15"/>
  <c r="G250" i="15"/>
  <c r="H250" i="15"/>
  <c r="I250" i="15"/>
  <c r="G251" i="15"/>
  <c r="H251" i="15"/>
  <c r="I251" i="15"/>
  <c r="G252" i="15"/>
  <c r="H252" i="15"/>
  <c r="I252" i="15"/>
  <c r="G253" i="15"/>
  <c r="H253" i="15"/>
  <c r="I253" i="15"/>
  <c r="G254" i="15"/>
  <c r="H254" i="15"/>
  <c r="I254" i="15"/>
  <c r="G255" i="15"/>
  <c r="H255" i="15"/>
  <c r="I255" i="15"/>
  <c r="G256" i="15"/>
  <c r="H256" i="15"/>
  <c r="I256" i="15"/>
  <c r="G257" i="15"/>
  <c r="H257" i="15"/>
  <c r="I257" i="15"/>
  <c r="G258" i="15"/>
  <c r="H258" i="15"/>
  <c r="I258" i="15"/>
  <c r="G259" i="15"/>
  <c r="H259" i="15"/>
  <c r="I259" i="15"/>
  <c r="G260" i="15"/>
  <c r="H260" i="15"/>
  <c r="I260" i="15"/>
  <c r="G261" i="15"/>
  <c r="H261" i="15"/>
  <c r="I261" i="15"/>
  <c r="G262" i="15"/>
  <c r="H262" i="15"/>
  <c r="I262" i="15"/>
  <c r="G263" i="15"/>
  <c r="H263" i="15"/>
  <c r="I263" i="15"/>
  <c r="G264" i="15"/>
  <c r="H264" i="15"/>
  <c r="I264" i="15"/>
  <c r="G265" i="15"/>
  <c r="H265" i="15"/>
  <c r="I265" i="15"/>
  <c r="G266" i="15"/>
  <c r="H266" i="15"/>
  <c r="I266" i="15"/>
  <c r="G267" i="15"/>
  <c r="H267" i="15"/>
  <c r="I267" i="15"/>
  <c r="G268" i="15"/>
  <c r="H268" i="15"/>
  <c r="I268" i="15"/>
  <c r="G269" i="15"/>
  <c r="H269" i="15"/>
  <c r="I269" i="15"/>
  <c r="G270" i="15"/>
  <c r="H270" i="15"/>
  <c r="I270" i="15"/>
  <c r="G271" i="15"/>
  <c r="H271" i="15"/>
  <c r="I271" i="15"/>
  <c r="G272" i="15"/>
  <c r="H272" i="15"/>
  <c r="I272" i="15"/>
  <c r="G273" i="15"/>
  <c r="H273" i="15"/>
  <c r="I273" i="15"/>
  <c r="G274" i="15"/>
  <c r="H274" i="15"/>
  <c r="I274" i="15"/>
  <c r="G275" i="15"/>
  <c r="H275" i="15"/>
  <c r="I275" i="15"/>
  <c r="G276" i="15"/>
  <c r="H276" i="15"/>
  <c r="I276" i="15"/>
  <c r="G277" i="15"/>
  <c r="H277" i="15"/>
  <c r="I277" i="15"/>
  <c r="G278" i="15"/>
  <c r="H278" i="15"/>
  <c r="I278" i="15"/>
  <c r="G279" i="15"/>
  <c r="H279" i="15"/>
  <c r="I279" i="15"/>
  <c r="G280" i="15"/>
  <c r="H280" i="15"/>
  <c r="I280" i="15"/>
  <c r="G281" i="15"/>
  <c r="H281" i="15"/>
  <c r="I281" i="15"/>
  <c r="G282" i="15"/>
  <c r="H282" i="15"/>
  <c r="I282" i="15"/>
  <c r="G283" i="15"/>
  <c r="H283" i="15"/>
  <c r="I283" i="15"/>
  <c r="G284" i="15"/>
  <c r="H284" i="15"/>
  <c r="I284" i="15"/>
  <c r="G285" i="15"/>
  <c r="H285" i="15"/>
  <c r="I285" i="15"/>
  <c r="G286" i="15"/>
  <c r="H286" i="15"/>
  <c r="I286" i="15"/>
  <c r="G287" i="15"/>
  <c r="H287" i="15"/>
  <c r="I287" i="15"/>
  <c r="G288" i="15"/>
  <c r="H288" i="15"/>
  <c r="I288" i="15"/>
  <c r="G289" i="15"/>
  <c r="H289" i="15"/>
  <c r="I289" i="15"/>
  <c r="G290" i="15"/>
  <c r="H290" i="15"/>
  <c r="I290" i="15"/>
  <c r="G291" i="15"/>
  <c r="H291" i="15"/>
  <c r="I291" i="15"/>
  <c r="G292" i="15"/>
  <c r="H292" i="15"/>
  <c r="I292" i="15"/>
  <c r="G293" i="15"/>
  <c r="H293" i="15"/>
  <c r="I293" i="15"/>
  <c r="G294" i="15"/>
  <c r="H294" i="15"/>
  <c r="I294" i="15"/>
  <c r="G295" i="15"/>
  <c r="H295" i="15"/>
  <c r="I295" i="15"/>
  <c r="G296" i="15"/>
  <c r="H296" i="15"/>
  <c r="I296" i="15"/>
  <c r="G297" i="15"/>
  <c r="H297" i="15"/>
  <c r="I297" i="15"/>
  <c r="G298" i="15"/>
  <c r="H298" i="15"/>
  <c r="I298" i="15"/>
  <c r="G299" i="15"/>
  <c r="H299" i="15"/>
  <c r="I299" i="15"/>
  <c r="G300" i="15"/>
  <c r="H300" i="15"/>
  <c r="I300" i="15"/>
  <c r="G301" i="15"/>
  <c r="H301" i="15"/>
  <c r="I301" i="15"/>
  <c r="G302" i="15"/>
  <c r="H302" i="15"/>
  <c r="I302" i="15"/>
  <c r="G4" i="15" l="1"/>
  <c r="H4" i="15"/>
  <c r="I4" i="15"/>
  <c r="G5" i="15"/>
  <c r="H5" i="15"/>
  <c r="I5" i="15"/>
  <c r="G6" i="15"/>
  <c r="H6" i="15"/>
  <c r="I6" i="15"/>
  <c r="G7" i="15"/>
  <c r="H7" i="15"/>
  <c r="I7" i="15"/>
  <c r="G8" i="15"/>
  <c r="H8" i="15"/>
  <c r="I8" i="15"/>
  <c r="G9" i="15"/>
  <c r="H9" i="15"/>
  <c r="I9" i="15"/>
  <c r="G10" i="15"/>
  <c r="H10" i="15"/>
  <c r="I10" i="15"/>
  <c r="G11" i="15"/>
  <c r="H11" i="15"/>
  <c r="I11" i="15"/>
  <c r="G12" i="15"/>
  <c r="H12" i="15"/>
  <c r="I12" i="15"/>
  <c r="G13" i="15"/>
  <c r="H13" i="15"/>
  <c r="I13" i="15"/>
  <c r="G14" i="15"/>
  <c r="H14" i="15"/>
  <c r="I14" i="15"/>
  <c r="G15" i="15"/>
  <c r="H15" i="15"/>
  <c r="I15" i="15"/>
  <c r="G16" i="15"/>
  <c r="H16" i="15"/>
  <c r="I16" i="15"/>
  <c r="G17" i="15"/>
  <c r="H17" i="15"/>
  <c r="I17" i="15"/>
  <c r="G18" i="15"/>
  <c r="H18" i="15"/>
  <c r="I18" i="15"/>
  <c r="G19" i="15"/>
  <c r="H19" i="15"/>
  <c r="I19" i="15"/>
  <c r="G20" i="15"/>
  <c r="H20" i="15"/>
  <c r="I20" i="15"/>
  <c r="G21" i="15"/>
  <c r="H21" i="15"/>
  <c r="I21" i="15"/>
  <c r="G22" i="15"/>
  <c r="H22" i="15"/>
  <c r="I22" i="15"/>
  <c r="G23" i="15"/>
  <c r="H23" i="15"/>
  <c r="I23" i="15"/>
  <c r="G24" i="15"/>
  <c r="H24" i="15"/>
  <c r="I24" i="15"/>
  <c r="G25" i="15"/>
  <c r="H25" i="15"/>
  <c r="I25" i="15"/>
  <c r="G26" i="15"/>
  <c r="H26" i="15"/>
  <c r="I26" i="15"/>
  <c r="G27" i="15"/>
  <c r="H27" i="15"/>
  <c r="I27" i="15"/>
  <c r="G28" i="15"/>
  <c r="H28" i="15"/>
  <c r="I28" i="15"/>
  <c r="G29" i="15"/>
  <c r="H29" i="15"/>
  <c r="I29" i="15"/>
  <c r="G30" i="15"/>
  <c r="H30" i="15"/>
  <c r="I30" i="15"/>
  <c r="G31" i="15"/>
  <c r="H31" i="15"/>
  <c r="I31" i="15"/>
  <c r="G32" i="15"/>
  <c r="H32" i="15"/>
  <c r="I32" i="15"/>
  <c r="G33" i="15"/>
  <c r="H33" i="15"/>
  <c r="I33" i="15"/>
  <c r="G34" i="15"/>
  <c r="H34" i="15"/>
  <c r="I34" i="15"/>
  <c r="G35" i="15"/>
  <c r="H35" i="15"/>
  <c r="I35" i="15"/>
  <c r="G36" i="15"/>
  <c r="H36" i="15"/>
  <c r="I36" i="15"/>
  <c r="G37" i="15"/>
  <c r="H37" i="15"/>
  <c r="I37" i="15"/>
  <c r="G38" i="15"/>
  <c r="H38" i="15"/>
  <c r="I38" i="15"/>
  <c r="G39" i="15"/>
  <c r="H39" i="15"/>
  <c r="I39" i="15"/>
  <c r="G40" i="15"/>
  <c r="H40" i="15"/>
  <c r="I40" i="15"/>
  <c r="G41" i="15"/>
  <c r="H41" i="15"/>
  <c r="I41" i="15"/>
  <c r="G42" i="15"/>
  <c r="H42" i="15"/>
  <c r="I42" i="15"/>
  <c r="G43" i="15"/>
  <c r="H43" i="15"/>
  <c r="I43" i="15"/>
  <c r="G44" i="15"/>
  <c r="H44" i="15"/>
  <c r="I44" i="15"/>
  <c r="G45" i="15"/>
  <c r="H45" i="15"/>
  <c r="I45" i="15"/>
  <c r="G46" i="15"/>
  <c r="H46" i="15"/>
  <c r="I46" i="15"/>
  <c r="G47" i="15"/>
  <c r="H47" i="15"/>
  <c r="I47" i="15"/>
  <c r="G48" i="15"/>
  <c r="H48" i="15"/>
  <c r="I48" i="15"/>
  <c r="G49" i="15"/>
  <c r="H49" i="15"/>
  <c r="I49" i="15"/>
  <c r="G50" i="15"/>
  <c r="H50" i="15"/>
  <c r="I50" i="15"/>
  <c r="G51" i="15"/>
  <c r="H51" i="15"/>
  <c r="I51" i="15"/>
  <c r="G52" i="15"/>
  <c r="H52" i="15"/>
  <c r="I52" i="15"/>
  <c r="G53" i="15"/>
  <c r="H53" i="15"/>
  <c r="I53" i="15"/>
  <c r="G54" i="15"/>
  <c r="H54" i="15"/>
  <c r="I54" i="15"/>
  <c r="G55" i="15"/>
  <c r="H55" i="15"/>
  <c r="I55" i="15"/>
  <c r="G56" i="15"/>
  <c r="H56" i="15"/>
  <c r="I56" i="15"/>
  <c r="G57" i="15"/>
  <c r="H57" i="15"/>
  <c r="I57" i="15"/>
  <c r="G58" i="15"/>
  <c r="H58" i="15"/>
  <c r="I58" i="15"/>
  <c r="G59" i="15"/>
  <c r="H59" i="15"/>
  <c r="I59" i="15"/>
  <c r="G60" i="15"/>
  <c r="H60" i="15"/>
  <c r="I60" i="15"/>
  <c r="G61" i="15"/>
  <c r="H61" i="15"/>
  <c r="I61" i="15"/>
  <c r="G62" i="15"/>
  <c r="H62" i="15"/>
  <c r="I62" i="15"/>
  <c r="G63" i="15"/>
  <c r="H63" i="15"/>
  <c r="I63" i="15"/>
  <c r="G64" i="15"/>
  <c r="H64" i="15"/>
  <c r="I64" i="15"/>
  <c r="G65" i="15"/>
  <c r="H65" i="15"/>
  <c r="I65" i="15"/>
  <c r="G66" i="15"/>
  <c r="H66" i="15"/>
  <c r="I66" i="15"/>
  <c r="G67" i="15"/>
  <c r="H67" i="15"/>
  <c r="I67" i="15"/>
  <c r="G68" i="15"/>
  <c r="H68" i="15"/>
  <c r="I68" i="15"/>
  <c r="G69" i="15"/>
  <c r="H69" i="15"/>
  <c r="I69" i="15"/>
  <c r="G70" i="15"/>
  <c r="H70" i="15"/>
  <c r="I70" i="15"/>
  <c r="G71" i="15"/>
  <c r="H71" i="15"/>
  <c r="I71" i="15"/>
  <c r="G72" i="15"/>
  <c r="H72" i="15"/>
  <c r="I72" i="15"/>
  <c r="G73" i="15"/>
  <c r="H73" i="15"/>
  <c r="I73" i="15"/>
  <c r="G74" i="15"/>
  <c r="H74" i="15"/>
  <c r="I74" i="15"/>
  <c r="G75" i="15"/>
  <c r="H75" i="15"/>
  <c r="I75" i="15"/>
  <c r="G76" i="15"/>
  <c r="H76" i="15"/>
  <c r="I76" i="15"/>
  <c r="G77" i="15"/>
  <c r="H77" i="15"/>
  <c r="I77" i="15"/>
  <c r="G78" i="15"/>
  <c r="H78" i="15"/>
  <c r="I78" i="15"/>
  <c r="G79" i="15"/>
  <c r="H79" i="15"/>
  <c r="I79" i="15"/>
  <c r="G80" i="15"/>
  <c r="H80" i="15"/>
  <c r="I80" i="15"/>
  <c r="G81" i="15"/>
  <c r="H81" i="15"/>
  <c r="I81" i="15"/>
  <c r="G82" i="15"/>
  <c r="H82" i="15"/>
  <c r="I82" i="15"/>
  <c r="G83" i="15"/>
  <c r="H83" i="15"/>
  <c r="I83" i="15"/>
  <c r="G84" i="15"/>
  <c r="H84" i="15"/>
  <c r="I84" i="15"/>
  <c r="G85" i="15"/>
  <c r="H85" i="15"/>
  <c r="I85" i="15"/>
  <c r="G86" i="15"/>
  <c r="H86" i="15"/>
  <c r="I86" i="15"/>
  <c r="G87" i="15"/>
  <c r="H87" i="15"/>
  <c r="I87" i="15"/>
  <c r="G88" i="15"/>
  <c r="H88" i="15"/>
  <c r="I88" i="15"/>
  <c r="G89" i="15"/>
  <c r="H89" i="15"/>
  <c r="I89" i="15"/>
  <c r="G90" i="15"/>
  <c r="H90" i="15"/>
  <c r="I90" i="15"/>
  <c r="G91" i="15"/>
  <c r="H91" i="15"/>
  <c r="I91" i="15"/>
  <c r="G92" i="15"/>
  <c r="H92" i="15"/>
  <c r="I92" i="15"/>
  <c r="G93" i="15"/>
  <c r="H93" i="15"/>
  <c r="I93" i="15"/>
  <c r="G94" i="15"/>
  <c r="H94" i="15"/>
  <c r="I94" i="15"/>
  <c r="G95" i="15"/>
  <c r="H95" i="15"/>
  <c r="I95" i="15"/>
  <c r="G96" i="15"/>
  <c r="H96" i="15"/>
  <c r="I96" i="15"/>
  <c r="G97" i="15"/>
  <c r="H97" i="15"/>
  <c r="I97" i="15"/>
  <c r="G98" i="15"/>
  <c r="H98" i="15"/>
  <c r="I98" i="15"/>
  <c r="G99" i="15"/>
  <c r="H99" i="15"/>
  <c r="I99" i="15"/>
  <c r="G100" i="15"/>
  <c r="H100" i="15"/>
  <c r="I100" i="15"/>
  <c r="G101" i="15"/>
  <c r="H101" i="15"/>
  <c r="I101" i="15"/>
  <c r="G102" i="15"/>
  <c r="H102" i="15"/>
  <c r="I102" i="15"/>
  <c r="G103" i="15"/>
  <c r="H103" i="15"/>
  <c r="I103" i="15"/>
  <c r="G104" i="15"/>
  <c r="H104" i="15"/>
  <c r="I104" i="15"/>
  <c r="G105" i="15"/>
  <c r="H105" i="15"/>
  <c r="I105" i="15"/>
  <c r="G106" i="15"/>
  <c r="H106" i="15"/>
  <c r="I106" i="15"/>
  <c r="G107" i="15"/>
  <c r="H107" i="15"/>
  <c r="I107" i="15"/>
  <c r="G108" i="15"/>
  <c r="H108" i="15"/>
  <c r="I108" i="15"/>
  <c r="G109" i="15"/>
  <c r="H109" i="15"/>
  <c r="I109" i="15"/>
  <c r="G110" i="15"/>
  <c r="H110" i="15"/>
  <c r="I110" i="15"/>
  <c r="G111" i="15"/>
  <c r="H111" i="15"/>
  <c r="I111" i="15"/>
  <c r="G112" i="15"/>
  <c r="H112" i="15"/>
  <c r="I112" i="15"/>
  <c r="G113" i="15"/>
  <c r="H113" i="15"/>
  <c r="I113" i="15"/>
  <c r="G114" i="15"/>
  <c r="H114" i="15"/>
  <c r="I114" i="15"/>
  <c r="G115" i="15"/>
  <c r="H115" i="15"/>
  <c r="I115" i="15"/>
  <c r="G116" i="15"/>
  <c r="H116" i="15"/>
  <c r="I116" i="15"/>
  <c r="G117" i="15"/>
  <c r="H117" i="15"/>
  <c r="I117" i="15"/>
  <c r="G118" i="15"/>
  <c r="H118" i="15"/>
  <c r="I118" i="15"/>
  <c r="G119" i="15"/>
  <c r="H119" i="15"/>
  <c r="I119" i="15"/>
  <c r="G120" i="15"/>
  <c r="H120" i="15"/>
  <c r="I120" i="15"/>
  <c r="G121" i="15"/>
  <c r="H121" i="15"/>
  <c r="I121" i="15"/>
  <c r="G122" i="15"/>
  <c r="H122" i="15"/>
  <c r="I122" i="15"/>
  <c r="G123" i="15"/>
  <c r="H123" i="15"/>
  <c r="I123" i="15"/>
  <c r="G124" i="15"/>
  <c r="H124" i="15"/>
  <c r="I124" i="15"/>
  <c r="G125" i="15"/>
  <c r="H125" i="15"/>
  <c r="I125" i="15"/>
  <c r="G126" i="15"/>
  <c r="H126" i="15"/>
  <c r="I126" i="15"/>
  <c r="G127" i="15"/>
  <c r="H127" i="15"/>
  <c r="I127" i="15"/>
  <c r="G128" i="15"/>
  <c r="H128" i="15"/>
  <c r="I128" i="15"/>
  <c r="G129" i="15"/>
  <c r="H129" i="15"/>
  <c r="I129" i="15"/>
  <c r="G130" i="15"/>
  <c r="H130" i="15"/>
  <c r="I130" i="15"/>
  <c r="G131" i="15"/>
  <c r="H131" i="15"/>
  <c r="I131" i="15"/>
  <c r="G132" i="15"/>
  <c r="H132" i="15"/>
  <c r="I132" i="15"/>
  <c r="G133" i="15"/>
  <c r="H133" i="15"/>
  <c r="I133" i="15"/>
  <c r="G134" i="15"/>
  <c r="H134" i="15"/>
  <c r="I134" i="15"/>
  <c r="G135" i="15"/>
  <c r="H135" i="15"/>
  <c r="I135" i="15"/>
  <c r="G136" i="15"/>
  <c r="H136" i="15"/>
  <c r="I136" i="15"/>
  <c r="G137" i="15"/>
  <c r="H137" i="15"/>
  <c r="I137" i="15"/>
  <c r="G138" i="15"/>
  <c r="H138" i="15"/>
  <c r="I138" i="15"/>
  <c r="G139" i="15"/>
  <c r="H139" i="15"/>
  <c r="I139" i="15"/>
  <c r="G140" i="15"/>
  <c r="H140" i="15"/>
  <c r="I140" i="15"/>
  <c r="G141" i="15"/>
  <c r="H141" i="15"/>
  <c r="I141" i="15"/>
  <c r="G142" i="15"/>
  <c r="H142" i="15"/>
  <c r="I142" i="15"/>
  <c r="G143" i="15"/>
  <c r="H143" i="15"/>
  <c r="I143" i="15"/>
  <c r="G144" i="15"/>
  <c r="H144" i="15"/>
  <c r="I144" i="15"/>
  <c r="G145" i="15"/>
  <c r="H145" i="15"/>
  <c r="I145" i="15"/>
  <c r="G146" i="15"/>
  <c r="H146" i="15"/>
  <c r="I146" i="15"/>
  <c r="G147" i="15"/>
  <c r="H147" i="15"/>
  <c r="I147" i="15"/>
  <c r="G148" i="15"/>
  <c r="H148" i="15"/>
  <c r="I148" i="15"/>
  <c r="G149" i="15"/>
  <c r="H149" i="15"/>
  <c r="I149" i="15"/>
  <c r="G150" i="15"/>
  <c r="H150" i="15"/>
  <c r="I150" i="15"/>
  <c r="G151" i="15"/>
  <c r="H151" i="15"/>
  <c r="I151" i="15"/>
  <c r="G152" i="15"/>
  <c r="H152" i="15"/>
  <c r="I152" i="15"/>
  <c r="G153" i="15"/>
  <c r="H153" i="15"/>
  <c r="I153" i="15"/>
  <c r="G154" i="15"/>
  <c r="H154" i="15"/>
  <c r="I154" i="15"/>
  <c r="G155" i="15"/>
  <c r="H155" i="15"/>
  <c r="I155" i="15"/>
  <c r="G156" i="15"/>
  <c r="H156" i="15"/>
  <c r="I156" i="15"/>
  <c r="G157" i="15"/>
  <c r="H157" i="15"/>
  <c r="I157" i="15"/>
  <c r="G158" i="15"/>
  <c r="H158" i="15"/>
  <c r="I158" i="15"/>
  <c r="G159" i="15"/>
  <c r="H159" i="15"/>
  <c r="I159" i="15"/>
  <c r="G160" i="15"/>
  <c r="H160" i="15"/>
  <c r="I160" i="15"/>
  <c r="G161" i="15"/>
  <c r="H161" i="15"/>
  <c r="I161" i="15"/>
  <c r="G162" i="15"/>
  <c r="H162" i="15"/>
  <c r="I162" i="15"/>
  <c r="G163" i="15"/>
  <c r="H163" i="15"/>
  <c r="I163" i="15"/>
  <c r="G164" i="15"/>
  <c r="H164" i="15"/>
  <c r="I164" i="15"/>
  <c r="G165" i="15"/>
  <c r="H165" i="15"/>
  <c r="I165" i="15"/>
  <c r="G166" i="15"/>
  <c r="H166" i="15"/>
  <c r="I166" i="15"/>
  <c r="G167" i="15"/>
  <c r="H167" i="15"/>
  <c r="I167" i="15"/>
  <c r="G168" i="15"/>
  <c r="H168" i="15"/>
  <c r="I168" i="15"/>
  <c r="G169" i="15"/>
  <c r="H169" i="15"/>
  <c r="I169" i="15"/>
  <c r="G170" i="15"/>
  <c r="H170" i="15"/>
  <c r="I170" i="15"/>
  <c r="G171" i="15"/>
  <c r="H171" i="15"/>
  <c r="I171" i="15"/>
  <c r="G172" i="15"/>
  <c r="H172" i="15"/>
  <c r="I172" i="15"/>
  <c r="G173" i="15"/>
  <c r="H173" i="15"/>
  <c r="I173" i="15"/>
  <c r="G174" i="15"/>
  <c r="H174" i="15"/>
  <c r="I174" i="15"/>
  <c r="G175" i="15"/>
  <c r="H175" i="15"/>
  <c r="I175" i="15"/>
  <c r="G176" i="15"/>
  <c r="H176" i="15"/>
  <c r="I176" i="15"/>
  <c r="G177" i="15"/>
  <c r="H177" i="15"/>
  <c r="I177" i="15"/>
  <c r="G178" i="15"/>
  <c r="H178" i="15"/>
  <c r="I178" i="15"/>
  <c r="G179" i="15"/>
  <c r="H179" i="15"/>
  <c r="I179" i="15"/>
  <c r="G180" i="15"/>
  <c r="H180" i="15"/>
  <c r="I180" i="15"/>
  <c r="G181" i="15"/>
  <c r="H181" i="15"/>
  <c r="I181" i="15"/>
  <c r="G182" i="15"/>
  <c r="H182" i="15"/>
  <c r="I182" i="15"/>
  <c r="G183" i="15"/>
  <c r="H183" i="15"/>
  <c r="I183" i="15"/>
  <c r="G184" i="15"/>
  <c r="H184" i="15"/>
  <c r="I184" i="15"/>
  <c r="G185" i="15"/>
  <c r="H185" i="15"/>
  <c r="I185" i="15"/>
  <c r="G186" i="15"/>
  <c r="H186" i="15"/>
  <c r="I186" i="15"/>
  <c r="G187" i="15"/>
  <c r="H187" i="15"/>
  <c r="I187" i="15"/>
  <c r="G188" i="15"/>
  <c r="H188" i="15"/>
  <c r="I188" i="15"/>
  <c r="G189" i="15"/>
  <c r="H189" i="15"/>
  <c r="I189" i="15"/>
  <c r="G190" i="15"/>
  <c r="H190" i="15"/>
  <c r="I190" i="15"/>
  <c r="G191" i="15"/>
  <c r="H191" i="15"/>
  <c r="I191" i="15"/>
  <c r="G192" i="15"/>
  <c r="H192" i="15"/>
  <c r="I192" i="15"/>
  <c r="G193" i="15"/>
  <c r="H193" i="15"/>
  <c r="I193" i="15"/>
  <c r="G194" i="15"/>
  <c r="H194" i="15"/>
  <c r="I194" i="15"/>
  <c r="G195" i="15"/>
  <c r="H195" i="15"/>
  <c r="I195" i="15"/>
  <c r="G196" i="15"/>
  <c r="H196" i="15"/>
  <c r="I196" i="15"/>
  <c r="G197" i="15"/>
  <c r="H197" i="15"/>
  <c r="I197" i="15"/>
  <c r="G198" i="15"/>
  <c r="H198" i="15"/>
  <c r="I198" i="15"/>
  <c r="G199" i="15"/>
  <c r="H199" i="15"/>
  <c r="I199" i="15"/>
  <c r="G200" i="15"/>
  <c r="H200" i="15"/>
  <c r="I200" i="15"/>
  <c r="G201" i="15"/>
  <c r="H201" i="15"/>
  <c r="I201" i="15"/>
  <c r="G202" i="15"/>
  <c r="H202" i="15"/>
  <c r="I202" i="15"/>
  <c r="G203" i="15"/>
  <c r="H203" i="15"/>
  <c r="I203" i="15"/>
  <c r="H3" i="15"/>
  <c r="I3" i="15"/>
  <c r="G3" i="15"/>
</calcChain>
</file>

<file path=xl/comments1.xml><?xml version="1.0" encoding="utf-8"?>
<comments xmlns="http://schemas.openxmlformats.org/spreadsheetml/2006/main">
  <authors>
    <author>chonextall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chonextall: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공격배수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chonextall: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배수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chonextall: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메인공격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배수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chonextall: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공격을</t>
        </r>
        <r>
          <rPr>
            <sz val="9"/>
            <color indexed="81"/>
            <rFont val="Tahoma"/>
            <family val="2"/>
          </rPr>
          <t xml:space="preserve"> Value</t>
        </r>
        <r>
          <rPr>
            <sz val="9"/>
            <color indexed="81"/>
            <rFont val="돋움"/>
            <family val="3"/>
            <charset val="129"/>
          </rPr>
          <t>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메인어택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발동</t>
        </r>
      </text>
    </comment>
  </commentList>
</comments>
</file>

<file path=xl/sharedStrings.xml><?xml version="1.0" encoding="utf-8"?>
<sst xmlns="http://schemas.openxmlformats.org/spreadsheetml/2006/main" count="1739" uniqueCount="177">
  <si>
    <t>ID</t>
    <phoneticPr fontId="2" type="noConversion"/>
  </si>
  <si>
    <t>StageName</t>
    <phoneticPr fontId="2" type="noConversion"/>
  </si>
  <si>
    <t>SpawnMonster</t>
    <phoneticPr fontId="2" type="noConversion"/>
  </si>
  <si>
    <t>SpawnCounts</t>
    <phoneticPr fontId="2" type="noConversion"/>
  </si>
  <si>
    <t>SpawnCooltime</t>
    <phoneticPr fontId="2" type="noConversion"/>
  </si>
  <si>
    <t>MonsterATK</t>
    <phoneticPr fontId="2" type="noConversion"/>
  </si>
  <si>
    <t>MonsterHP</t>
    <phoneticPr fontId="2" type="noConversion"/>
  </si>
  <si>
    <t>GoldReward</t>
    <phoneticPr fontId="2" type="noConversion"/>
  </si>
  <si>
    <t>WstoneReward</t>
    <phoneticPr fontId="2" type="noConversion"/>
  </si>
  <si>
    <t>WeaponReward</t>
    <phoneticPr fontId="2" type="noConversion"/>
  </si>
  <si>
    <t>WeaponRewardRate</t>
    <phoneticPr fontId="2" type="noConversion"/>
  </si>
  <si>
    <t>BgId</t>
    <phoneticPr fontId="2" type="noConversion"/>
  </si>
  <si>
    <t>Id</t>
    <phoneticPr fontId="2" type="noConversion"/>
  </si>
  <si>
    <t>CurrencyName</t>
    <phoneticPr fontId="2" type="noConversion"/>
  </si>
  <si>
    <t>골드</t>
    <phoneticPr fontId="2" type="noConversion"/>
  </si>
  <si>
    <t>무기강화석</t>
    <phoneticPr fontId="2" type="noConversion"/>
  </si>
  <si>
    <t>무기제련석</t>
    <phoneticPr fontId="2" type="noConversion"/>
  </si>
  <si>
    <t>펫강화석</t>
    <phoneticPr fontId="2" type="noConversion"/>
  </si>
  <si>
    <t>펫성장석</t>
    <phoneticPr fontId="2" type="noConversion"/>
  </si>
  <si>
    <t>스킬강화석</t>
    <phoneticPr fontId="2" type="noConversion"/>
  </si>
  <si>
    <t>장신구강화석</t>
    <phoneticPr fontId="2" type="noConversion"/>
  </si>
  <si>
    <t>무기뽑기권</t>
    <phoneticPr fontId="2" type="noConversion"/>
  </si>
  <si>
    <t>골드던전입장권</t>
    <phoneticPr fontId="2" type="noConversion"/>
  </si>
  <si>
    <t>스킬던전입장권</t>
    <phoneticPr fontId="2" type="noConversion"/>
  </si>
  <si>
    <t>무기제련석던전입장권</t>
    <phoneticPr fontId="2" type="noConversion"/>
  </si>
  <si>
    <t>펫성장석입장권</t>
    <phoneticPr fontId="2" type="noConversion"/>
  </si>
  <si>
    <t>Category</t>
    <phoneticPr fontId="2" type="noConversion"/>
  </si>
  <si>
    <t>Name</t>
    <phoneticPr fontId="2" type="noConversion"/>
  </si>
  <si>
    <t>Character</t>
    <phoneticPr fontId="2" type="noConversion"/>
  </si>
  <si>
    <t>Costume</t>
    <phoneticPr fontId="2" type="noConversion"/>
  </si>
  <si>
    <t>Bg</t>
    <phoneticPr fontId="2" type="noConversion"/>
  </si>
  <si>
    <t>WeaponIcon</t>
    <phoneticPr fontId="2" type="noConversion"/>
  </si>
  <si>
    <t>Pet</t>
    <phoneticPr fontId="2" type="noConversion"/>
  </si>
  <si>
    <t>PetIcon</t>
    <phoneticPr fontId="2" type="noConversion"/>
  </si>
  <si>
    <t>RingIcon</t>
    <phoneticPr fontId="2" type="noConversion"/>
  </si>
  <si>
    <t>주인공</t>
    <phoneticPr fontId="2" type="noConversion"/>
  </si>
  <si>
    <t>승급옵션변경석</t>
    <phoneticPr fontId="2" type="noConversion"/>
  </si>
  <si>
    <t>다이아</t>
    <phoneticPr fontId="2" type="noConversion"/>
  </si>
  <si>
    <t>레벨업포인트</t>
    <phoneticPr fontId="2" type="noConversion"/>
  </si>
  <si>
    <t>스테이지포인트</t>
    <phoneticPr fontId="2" type="noConversion"/>
  </si>
  <si>
    <t>GoalCounts</t>
    <phoneticPr fontId="2" type="noConversion"/>
  </si>
  <si>
    <t>NextID</t>
    <phoneticPr fontId="2" type="noConversion"/>
  </si>
  <si>
    <t>Description</t>
    <phoneticPr fontId="2" type="noConversion"/>
  </si>
  <si>
    <t>Counts</t>
    <phoneticPr fontId="2" type="noConversion"/>
  </si>
  <si>
    <t>보스 스테이지 도전 제한 시간 (초)</t>
    <phoneticPr fontId="2" type="noConversion"/>
  </si>
  <si>
    <t>StageType</t>
    <phoneticPr fontId="2" type="noConversion"/>
  </si>
  <si>
    <t>Normal</t>
    <phoneticPr fontId="2" type="noConversion"/>
  </si>
  <si>
    <t>MonsterName</t>
    <phoneticPr fontId="2" type="noConversion"/>
  </si>
  <si>
    <t>MonsterResource</t>
    <phoneticPr fontId="2" type="noConversion"/>
  </si>
  <si>
    <t>슬라임</t>
    <phoneticPr fontId="2" type="noConversion"/>
  </si>
  <si>
    <t>세모임</t>
    <phoneticPr fontId="2" type="noConversion"/>
  </si>
  <si>
    <t>네모임</t>
    <phoneticPr fontId="2" type="noConversion"/>
  </si>
  <si>
    <t>고블린</t>
    <phoneticPr fontId="2" type="noConversion"/>
  </si>
  <si>
    <t>오크</t>
    <phoneticPr fontId="2" type="noConversion"/>
  </si>
  <si>
    <t>트롤</t>
    <phoneticPr fontId="2" type="noConversion"/>
  </si>
  <si>
    <t>오우거</t>
    <phoneticPr fontId="2" type="noConversion"/>
  </si>
  <si>
    <t>스네이크</t>
    <phoneticPr fontId="2" type="noConversion"/>
  </si>
  <si>
    <t>키메라</t>
    <phoneticPr fontId="2" type="noConversion"/>
  </si>
  <si>
    <t>Slime</t>
    <phoneticPr fontId="2" type="noConversion"/>
  </si>
  <si>
    <t>Semoime</t>
    <phoneticPr fontId="2" type="noConversion"/>
  </si>
  <si>
    <t>Nemoime</t>
    <phoneticPr fontId="2" type="noConversion"/>
  </si>
  <si>
    <t>Goblin</t>
    <phoneticPr fontId="2" type="noConversion"/>
  </si>
  <si>
    <t>Orc</t>
    <phoneticPr fontId="2" type="noConversion"/>
  </si>
  <si>
    <t>Troll</t>
    <phoneticPr fontId="2" type="noConversion"/>
  </si>
  <si>
    <t>Oger</t>
    <phoneticPr fontId="2" type="noConversion"/>
  </si>
  <si>
    <t>Snake</t>
    <phoneticPr fontId="2" type="noConversion"/>
  </si>
  <si>
    <t>Kimera</t>
    <phoneticPr fontId="2" type="noConversion"/>
  </si>
  <si>
    <t>블러드슬라임</t>
    <phoneticPr fontId="2" type="noConversion"/>
  </si>
  <si>
    <t>Slime</t>
    <phoneticPr fontId="2" type="noConversion"/>
  </si>
  <si>
    <t>ExpReward</t>
    <phoneticPr fontId="2" type="noConversion"/>
  </si>
  <si>
    <t>DataType</t>
    <phoneticPr fontId="2" type="noConversion"/>
  </si>
  <si>
    <t>Int</t>
    <phoneticPr fontId="2" type="noConversion"/>
  </si>
  <si>
    <t>노말 스테이지 도전 제한 시간 (초)</t>
    <phoneticPr fontId="2" type="noConversion"/>
  </si>
  <si>
    <t>MainAtkDelay</t>
    <phoneticPr fontId="2" type="noConversion"/>
  </si>
  <si>
    <t>Type</t>
    <phoneticPr fontId="2" type="noConversion"/>
  </si>
  <si>
    <t>Normal</t>
    <phoneticPr fontId="2" type="noConversion"/>
  </si>
  <si>
    <t>BOSS</t>
    <phoneticPr fontId="2" type="noConversion"/>
  </si>
  <si>
    <t>AtkDelay</t>
    <phoneticPr fontId="2" type="noConversion"/>
  </si>
  <si>
    <t>Atk1DmgRate</t>
    <phoneticPr fontId="2" type="noConversion"/>
  </si>
  <si>
    <t>Atk2DmgRate</t>
    <phoneticPr fontId="2" type="noConversion"/>
  </si>
  <si>
    <t>Atk3DmgRate</t>
    <phoneticPr fontId="2" type="noConversion"/>
  </si>
  <si>
    <t>MainAtkDmgRate</t>
    <phoneticPr fontId="2" type="noConversion"/>
  </si>
  <si>
    <t>[1,2]</t>
  </si>
  <si>
    <t>[1,2]</t>
    <phoneticPr fontId="2" type="noConversion"/>
  </si>
  <si>
    <t>[2,3]</t>
    <phoneticPr fontId="2" type="noConversion"/>
  </si>
  <si>
    <t>StageId</t>
    <phoneticPr fontId="2" type="noConversion"/>
  </si>
  <si>
    <t>Charging</t>
    <phoneticPr fontId="2" type="noConversion"/>
  </si>
  <si>
    <t>월드보스 도전 입장권</t>
  </si>
  <si>
    <t>월드보스 도전 입장권</t>
    <phoneticPr fontId="2" type="noConversion"/>
  </si>
  <si>
    <t>MaxCarryingCapacity</t>
    <phoneticPr fontId="2" type="noConversion"/>
  </si>
  <si>
    <t>IconResource</t>
    <phoneticPr fontId="2" type="noConversion"/>
  </si>
  <si>
    <t>다이아</t>
  </si>
  <si>
    <t>골드</t>
  </si>
  <si>
    <t>무기강화석</t>
  </si>
  <si>
    <t>무기제련석</t>
  </si>
  <si>
    <t>펫강화석</t>
  </si>
  <si>
    <t>펫성장석</t>
  </si>
  <si>
    <t>스킬강화석</t>
  </si>
  <si>
    <t>장신구강화석</t>
  </si>
  <si>
    <t>승급옵션변경석</t>
  </si>
  <si>
    <t>레벨업포인트</t>
  </si>
  <si>
    <t>스테이지포인트</t>
  </si>
  <si>
    <t>무기뽑기권</t>
  </si>
  <si>
    <t>펫뽑기권</t>
  </si>
  <si>
    <t>장신구상자</t>
  </si>
  <si>
    <t>스킬상자</t>
  </si>
  <si>
    <t>골드던전입장권</t>
  </si>
  <si>
    <t>스킬던전입장권</t>
  </si>
  <si>
    <t>무기제련석던전입장권</t>
  </si>
  <si>
    <t>펫성장석입장권</t>
  </si>
  <si>
    <t>DailyChragingCounts</t>
    <phoneticPr fontId="2" type="noConversion"/>
  </si>
  <si>
    <t>CurrecncyIcon</t>
    <phoneticPr fontId="2" type="noConversion"/>
  </si>
  <si>
    <t>Monster</t>
    <phoneticPr fontId="2" type="noConversion"/>
  </si>
  <si>
    <t>MonsterIcon</t>
    <phoneticPr fontId="2" type="noConversion"/>
  </si>
  <si>
    <t>Weapon</t>
    <phoneticPr fontId="2" type="noConversion"/>
  </si>
  <si>
    <t>슬라임아이콘</t>
    <phoneticPr fontId="2" type="noConversion"/>
  </si>
  <si>
    <t>세모임아이콘</t>
    <phoneticPr fontId="2" type="noConversion"/>
  </si>
  <si>
    <t>네모임아이콘</t>
    <phoneticPr fontId="2" type="noConversion"/>
  </si>
  <si>
    <t>블러드슬라임아이콘</t>
    <phoneticPr fontId="2" type="noConversion"/>
  </si>
  <si>
    <t>고블린아이콘</t>
    <phoneticPr fontId="2" type="noConversion"/>
  </si>
  <si>
    <t>오크아이콘</t>
    <phoneticPr fontId="2" type="noConversion"/>
  </si>
  <si>
    <t>트롤아이콘</t>
    <phoneticPr fontId="2" type="noConversion"/>
  </si>
  <si>
    <t>오우거아이콘</t>
    <phoneticPr fontId="2" type="noConversion"/>
  </si>
  <si>
    <t>스네이크아이콘</t>
    <phoneticPr fontId="2" type="noConversion"/>
  </si>
  <si>
    <t>키메라아이콘</t>
    <phoneticPr fontId="2" type="noConversion"/>
  </si>
  <si>
    <t>나무몽둥이</t>
    <phoneticPr fontId="2" type="noConversion"/>
  </si>
  <si>
    <t>나무몽둥이아이콘</t>
    <phoneticPr fontId="2" type="noConversion"/>
  </si>
  <si>
    <t>햄스터</t>
    <phoneticPr fontId="2" type="noConversion"/>
  </si>
  <si>
    <t>햄스터아이콘</t>
    <phoneticPr fontId="2" type="noConversion"/>
  </si>
  <si>
    <t>금가락지아이콘</t>
    <phoneticPr fontId="2" type="noConversion"/>
  </si>
  <si>
    <t>어두운숲</t>
    <phoneticPr fontId="2" type="noConversion"/>
  </si>
  <si>
    <t>유치원생 교복</t>
    <phoneticPr fontId="2" type="noConversion"/>
  </si>
  <si>
    <t>NotUsed</t>
    <phoneticPr fontId="2" type="noConversion"/>
  </si>
  <si>
    <t>스킬뽑기권</t>
    <phoneticPr fontId="2" type="noConversion"/>
  </si>
  <si>
    <t>장신구뽑기권</t>
    <phoneticPr fontId="2" type="noConversion"/>
  </si>
  <si>
    <t>AstoneReward</t>
    <phoneticPr fontId="2" type="noConversion"/>
  </si>
  <si>
    <t>AccReward</t>
    <phoneticPr fontId="2" type="noConversion"/>
  </si>
  <si>
    <t>AttackRange</t>
    <phoneticPr fontId="2" type="noConversion"/>
  </si>
  <si>
    <t>int32</t>
    <phoneticPr fontId="2" type="noConversion"/>
  </si>
  <si>
    <t>double</t>
    <phoneticPr fontId="2" type="noConversion"/>
  </si>
  <si>
    <t>double</t>
    <phoneticPr fontId="2" type="noConversion"/>
  </si>
  <si>
    <t>HP</t>
    <phoneticPr fontId="2" type="noConversion"/>
  </si>
  <si>
    <t>BOSSHP</t>
    <phoneticPr fontId="2" type="noConversion"/>
  </si>
  <si>
    <t>ATK</t>
    <phoneticPr fontId="2" type="noConversion"/>
  </si>
  <si>
    <t>BOSSATK</t>
    <phoneticPr fontId="2" type="noConversion"/>
  </si>
  <si>
    <t>BOSS</t>
    <phoneticPr fontId="2" type="noConversion"/>
  </si>
  <si>
    <t>BOSS</t>
    <phoneticPr fontId="2" type="noConversion"/>
  </si>
  <si>
    <t>BOSS</t>
    <phoneticPr fontId="2" type="noConversion"/>
  </si>
  <si>
    <t>BOSS</t>
    <phoneticPr fontId="2" type="noConversion"/>
  </si>
  <si>
    <t>BOSS</t>
    <phoneticPr fontId="2" type="noConversion"/>
  </si>
  <si>
    <t>[3,4]</t>
    <phoneticPr fontId="2" type="noConversion"/>
  </si>
  <si>
    <t>[4,5]</t>
    <phoneticPr fontId="2" type="noConversion"/>
  </si>
  <si>
    <t>[5,6]</t>
    <phoneticPr fontId="2" type="noConversion"/>
  </si>
  <si>
    <t>[7,8]</t>
    <phoneticPr fontId="2" type="noConversion"/>
  </si>
  <si>
    <t>[9,10]</t>
    <phoneticPr fontId="2" type="noConversion"/>
  </si>
  <si>
    <t>[11,12]</t>
    <phoneticPr fontId="2" type="noConversion"/>
  </si>
  <si>
    <t>[12,13]</t>
    <phoneticPr fontId="2" type="noConversion"/>
  </si>
  <si>
    <t>[10,11]</t>
    <phoneticPr fontId="2" type="noConversion"/>
  </si>
  <si>
    <t>[13,14]</t>
    <phoneticPr fontId="2" type="noConversion"/>
  </si>
  <si>
    <t>[14,15]</t>
    <phoneticPr fontId="2" type="noConversion"/>
  </si>
  <si>
    <t>[15,16]</t>
    <phoneticPr fontId="2" type="noConversion"/>
  </si>
  <si>
    <t>[16,17]</t>
    <phoneticPr fontId="2" type="noConversion"/>
  </si>
  <si>
    <t>[17,18]</t>
    <phoneticPr fontId="2" type="noConversion"/>
  </si>
  <si>
    <t>[18,19]</t>
    <phoneticPr fontId="2" type="noConversion"/>
  </si>
  <si>
    <t>[19,20]</t>
    <phoneticPr fontId="2" type="noConversion"/>
  </si>
  <si>
    <t>[20,21]</t>
    <phoneticPr fontId="2" type="noConversion"/>
  </si>
  <si>
    <t>[21,22]</t>
    <phoneticPr fontId="2" type="noConversion"/>
  </si>
  <si>
    <t>[22,23]</t>
    <phoneticPr fontId="2" type="noConversion"/>
  </si>
  <si>
    <t>[23,24]</t>
    <phoneticPr fontId="2" type="noConversion"/>
  </si>
  <si>
    <t>[24,25]</t>
    <phoneticPr fontId="2" type="noConversion"/>
  </si>
  <si>
    <t>[25,26]</t>
    <phoneticPr fontId="2" type="noConversion"/>
  </si>
  <si>
    <t>ID</t>
    <phoneticPr fontId="2" type="noConversion"/>
  </si>
  <si>
    <t>AccRewardRate</t>
    <phoneticPr fontId="2" type="noConversion"/>
  </si>
  <si>
    <t>FirstClearReward</t>
    <phoneticPr fontId="2" type="noConversion"/>
  </si>
  <si>
    <t>FirstClearRewardType</t>
    <phoneticPr fontId="2" type="noConversion"/>
  </si>
  <si>
    <t>다이아몬드</t>
    <phoneticPr fontId="2" type="noConversion"/>
  </si>
  <si>
    <t>Pass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</si>
</sst>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#,##0.00_ "/>
    <numFmt numFmtId="177" formatCode="#,##0_ "/>
    <numFmt numFmtId="178" formatCode="#,##0_);[Red]\(#,##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1" fontId="8" fillId="2" borderId="2" xfId="1" applyFont="1" applyFill="1" applyBorder="1" applyAlignment="1">
      <alignment horizontal="center" vertical="center"/>
    </xf>
    <xf numFmtId="41" fontId="8" fillId="2" borderId="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1" fontId="0" fillId="3" borderId="0" xfId="1" applyFont="1" applyFill="1">
      <alignment vertical="center"/>
    </xf>
    <xf numFmtId="177" fontId="0" fillId="0" borderId="0" xfId="0" applyNumberFormat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178" fontId="0" fillId="0" borderId="0" xfId="0" applyNumberFormat="1">
      <alignment vertical="center"/>
    </xf>
    <xf numFmtId="41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D18" sqref="D18"/>
    </sheetView>
  </sheetViews>
  <sheetFormatPr defaultRowHeight="16.5" x14ac:dyDescent="0.3"/>
  <cols>
    <col min="2" max="2" width="21.375" bestFit="1" customWidth="1"/>
    <col min="4" max="4" width="20.625" bestFit="1" customWidth="1"/>
    <col min="5" max="5" width="20.5" style="1" bestFit="1" customWidth="1"/>
    <col min="6" max="6" width="21.375" bestFit="1" customWidth="1"/>
  </cols>
  <sheetData>
    <row r="1" spans="1:7" ht="17.25" thickBot="1" x14ac:dyDescent="0.35">
      <c r="A1" s="2" t="s">
        <v>12</v>
      </c>
      <c r="B1" s="2" t="s">
        <v>13</v>
      </c>
      <c r="C1" s="2" t="s">
        <v>86</v>
      </c>
      <c r="D1" s="2" t="s">
        <v>110</v>
      </c>
      <c r="E1" s="2" t="s">
        <v>89</v>
      </c>
      <c r="F1" s="2" t="s">
        <v>90</v>
      </c>
      <c r="G1" s="5" t="s">
        <v>132</v>
      </c>
    </row>
    <row r="2" spans="1:7" x14ac:dyDescent="0.3">
      <c r="A2" s="1">
        <v>1</v>
      </c>
      <c r="B2" s="1" t="s">
        <v>37</v>
      </c>
      <c r="C2" s="1" t="b">
        <v>0</v>
      </c>
      <c r="D2" s="1">
        <v>0</v>
      </c>
      <c r="E2" s="1">
        <v>0</v>
      </c>
      <c r="F2" s="1" t="s">
        <v>91</v>
      </c>
    </row>
    <row r="3" spans="1:7" x14ac:dyDescent="0.3">
      <c r="A3" s="1">
        <v>2</v>
      </c>
      <c r="B3" s="1" t="s">
        <v>14</v>
      </c>
      <c r="C3" s="1" t="b">
        <v>0</v>
      </c>
      <c r="D3" s="1">
        <v>0</v>
      </c>
      <c r="E3" s="1">
        <v>0</v>
      </c>
      <c r="F3" s="1" t="s">
        <v>92</v>
      </c>
    </row>
    <row r="4" spans="1:7" x14ac:dyDescent="0.3">
      <c r="A4" s="1">
        <v>3</v>
      </c>
      <c r="B4" s="1" t="s">
        <v>15</v>
      </c>
      <c r="C4" s="1" t="b">
        <v>0</v>
      </c>
      <c r="D4" s="1">
        <v>0</v>
      </c>
      <c r="E4" s="1">
        <v>0</v>
      </c>
      <c r="F4" s="1" t="s">
        <v>93</v>
      </c>
    </row>
    <row r="5" spans="1:7" x14ac:dyDescent="0.3">
      <c r="A5" s="1">
        <v>4</v>
      </c>
      <c r="B5" s="1" t="s">
        <v>16</v>
      </c>
      <c r="C5" s="1" t="b">
        <v>0</v>
      </c>
      <c r="D5" s="1">
        <v>0</v>
      </c>
      <c r="E5" s="1">
        <v>0</v>
      </c>
      <c r="F5" s="1" t="s">
        <v>94</v>
      </c>
    </row>
    <row r="6" spans="1:7" x14ac:dyDescent="0.3">
      <c r="A6" s="1">
        <v>5</v>
      </c>
      <c r="B6" s="1" t="s">
        <v>17</v>
      </c>
      <c r="C6" s="1" t="b">
        <v>0</v>
      </c>
      <c r="D6" s="1">
        <v>0</v>
      </c>
      <c r="E6" s="1">
        <v>0</v>
      </c>
      <c r="F6" s="1" t="s">
        <v>95</v>
      </c>
    </row>
    <row r="7" spans="1:7" x14ac:dyDescent="0.3">
      <c r="A7" s="1">
        <v>6</v>
      </c>
      <c r="B7" s="1" t="s">
        <v>18</v>
      </c>
      <c r="C7" s="1" t="b">
        <v>0</v>
      </c>
      <c r="D7" s="1">
        <v>0</v>
      </c>
      <c r="E7" s="1">
        <v>0</v>
      </c>
      <c r="F7" s="1" t="s">
        <v>96</v>
      </c>
    </row>
    <row r="8" spans="1:7" x14ac:dyDescent="0.3">
      <c r="A8" s="1">
        <v>7</v>
      </c>
      <c r="B8" s="1" t="s">
        <v>19</v>
      </c>
      <c r="C8" s="1" t="b">
        <v>0</v>
      </c>
      <c r="D8" s="1">
        <v>0</v>
      </c>
      <c r="E8" s="1">
        <v>0</v>
      </c>
      <c r="F8" s="1" t="s">
        <v>97</v>
      </c>
    </row>
    <row r="9" spans="1:7" x14ac:dyDescent="0.3">
      <c r="A9" s="1">
        <v>8</v>
      </c>
      <c r="B9" s="1" t="s">
        <v>20</v>
      </c>
      <c r="C9" s="1" t="b">
        <v>0</v>
      </c>
      <c r="D9" s="1">
        <v>0</v>
      </c>
      <c r="E9" s="1">
        <v>0</v>
      </c>
      <c r="F9" s="1" t="s">
        <v>98</v>
      </c>
    </row>
    <row r="10" spans="1:7" x14ac:dyDescent="0.3">
      <c r="A10" s="1">
        <v>9</v>
      </c>
      <c r="B10" s="1" t="s">
        <v>36</v>
      </c>
      <c r="C10" s="1" t="b">
        <v>0</v>
      </c>
      <c r="D10" s="1">
        <v>0</v>
      </c>
      <c r="E10" s="1">
        <v>0</v>
      </c>
      <c r="F10" s="1" t="s">
        <v>99</v>
      </c>
    </row>
    <row r="11" spans="1:7" x14ac:dyDescent="0.3">
      <c r="A11" s="1">
        <v>10</v>
      </c>
      <c r="B11" s="1" t="s">
        <v>38</v>
      </c>
      <c r="C11" s="1" t="b">
        <v>0</v>
      </c>
      <c r="D11" s="1">
        <v>0</v>
      </c>
      <c r="E11" s="1">
        <v>1000</v>
      </c>
      <c r="F11" s="1" t="s">
        <v>100</v>
      </c>
    </row>
    <row r="12" spans="1:7" x14ac:dyDescent="0.3">
      <c r="A12" s="1">
        <v>11</v>
      </c>
      <c r="B12" s="1" t="s">
        <v>39</v>
      </c>
      <c r="C12" s="1" t="b">
        <v>0</v>
      </c>
      <c r="D12" s="1">
        <v>0</v>
      </c>
      <c r="E12" s="1">
        <v>0</v>
      </c>
      <c r="F12" s="1" t="s">
        <v>101</v>
      </c>
    </row>
    <row r="13" spans="1:7" x14ac:dyDescent="0.3">
      <c r="A13" s="1">
        <v>12</v>
      </c>
      <c r="B13" s="1" t="s">
        <v>21</v>
      </c>
      <c r="C13" s="1" t="b">
        <v>0</v>
      </c>
      <c r="D13" s="1">
        <v>0</v>
      </c>
      <c r="E13" s="1">
        <v>0</v>
      </c>
      <c r="F13" s="1" t="s">
        <v>102</v>
      </c>
    </row>
    <row r="14" spans="1:7" x14ac:dyDescent="0.3">
      <c r="A14" s="1">
        <v>13</v>
      </c>
      <c r="B14" s="1" t="s">
        <v>133</v>
      </c>
      <c r="C14" s="1" t="b">
        <v>0</v>
      </c>
      <c r="D14" s="1">
        <v>0</v>
      </c>
      <c r="E14" s="1">
        <v>0</v>
      </c>
      <c r="F14" s="1" t="s">
        <v>103</v>
      </c>
    </row>
    <row r="15" spans="1:7" x14ac:dyDescent="0.3">
      <c r="A15" s="1">
        <v>14</v>
      </c>
      <c r="B15" s="1" t="s">
        <v>134</v>
      </c>
      <c r="C15" s="1" t="b">
        <v>0</v>
      </c>
      <c r="D15" s="1">
        <v>0</v>
      </c>
      <c r="E15" s="1">
        <v>0</v>
      </c>
      <c r="F15" s="1" t="s">
        <v>104</v>
      </c>
    </row>
    <row r="16" spans="1:7" x14ac:dyDescent="0.3">
      <c r="A16" s="1">
        <v>15</v>
      </c>
      <c r="B16" s="1" t="s">
        <v>22</v>
      </c>
      <c r="C16" s="1" t="b">
        <v>1</v>
      </c>
      <c r="D16" s="1">
        <v>3</v>
      </c>
      <c r="E16" s="1">
        <v>10</v>
      </c>
      <c r="F16" s="1" t="s">
        <v>106</v>
      </c>
    </row>
    <row r="17" spans="1:6" x14ac:dyDescent="0.3">
      <c r="A17" s="1">
        <v>16</v>
      </c>
      <c r="B17" s="1" t="s">
        <v>23</v>
      </c>
      <c r="C17" s="1" t="b">
        <v>1</v>
      </c>
      <c r="D17" s="1">
        <v>3</v>
      </c>
      <c r="E17" s="1">
        <v>10</v>
      </c>
      <c r="F17" s="1" t="s">
        <v>107</v>
      </c>
    </row>
    <row r="18" spans="1:6" x14ac:dyDescent="0.3">
      <c r="A18" s="1">
        <v>17</v>
      </c>
      <c r="B18" s="1" t="s">
        <v>24</v>
      </c>
      <c r="C18" s="1" t="b">
        <v>1</v>
      </c>
      <c r="D18" s="1">
        <v>3</v>
      </c>
      <c r="E18" s="1">
        <v>10</v>
      </c>
      <c r="F18" s="1" t="s">
        <v>108</v>
      </c>
    </row>
    <row r="19" spans="1:6" x14ac:dyDescent="0.3">
      <c r="A19" s="1">
        <v>18</v>
      </c>
      <c r="B19" s="1" t="s">
        <v>25</v>
      </c>
      <c r="C19" s="1" t="b">
        <v>1</v>
      </c>
      <c r="D19" s="1">
        <v>3</v>
      </c>
      <c r="E19" s="1">
        <v>10</v>
      </c>
      <c r="F19" s="1" t="s">
        <v>109</v>
      </c>
    </row>
    <row r="20" spans="1:6" x14ac:dyDescent="0.3">
      <c r="A20" s="1">
        <v>19</v>
      </c>
      <c r="B20" s="1" t="s">
        <v>88</v>
      </c>
      <c r="C20" s="1" t="b">
        <v>1</v>
      </c>
      <c r="D20" s="1">
        <v>3</v>
      </c>
      <c r="E20" s="1">
        <v>10</v>
      </c>
      <c r="F20" s="1" t="s">
        <v>87</v>
      </c>
    </row>
    <row r="21" spans="1:6" x14ac:dyDescent="0.3">
      <c r="D21" s="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C19" sqref="C19"/>
    </sheetView>
  </sheetViews>
  <sheetFormatPr defaultRowHeight="16.5" x14ac:dyDescent="0.3"/>
  <cols>
    <col min="2" max="2" width="13.875" bestFit="1" customWidth="1"/>
    <col min="3" max="3" width="21.375" bestFit="1" customWidth="1"/>
  </cols>
  <sheetData>
    <row r="1" spans="1:3" ht="17.25" thickBot="1" x14ac:dyDescent="0.35">
      <c r="A1" s="2" t="s">
        <v>12</v>
      </c>
      <c r="B1" s="2" t="s">
        <v>26</v>
      </c>
      <c r="C1" s="2" t="s">
        <v>27</v>
      </c>
    </row>
    <row r="2" spans="1:3" x14ac:dyDescent="0.3">
      <c r="A2" s="1">
        <v>1</v>
      </c>
      <c r="B2" s="1" t="s">
        <v>28</v>
      </c>
      <c r="C2" s="1" t="s">
        <v>35</v>
      </c>
    </row>
    <row r="3" spans="1:3" x14ac:dyDescent="0.3">
      <c r="A3" s="1">
        <v>2</v>
      </c>
      <c r="B3" s="1" t="s">
        <v>29</v>
      </c>
      <c r="C3" s="1" t="s">
        <v>131</v>
      </c>
    </row>
    <row r="4" spans="1:3" x14ac:dyDescent="0.3">
      <c r="A4" s="1">
        <v>3</v>
      </c>
      <c r="B4" s="1" t="s">
        <v>30</v>
      </c>
      <c r="C4" s="1" t="s">
        <v>130</v>
      </c>
    </row>
    <row r="5" spans="1:3" x14ac:dyDescent="0.3">
      <c r="A5" s="1"/>
      <c r="B5" s="1" t="s">
        <v>114</v>
      </c>
      <c r="C5" s="1" t="s">
        <v>125</v>
      </c>
    </row>
    <row r="6" spans="1:3" x14ac:dyDescent="0.3">
      <c r="A6" s="1">
        <v>4</v>
      </c>
      <c r="B6" s="1" t="s">
        <v>31</v>
      </c>
      <c r="C6" s="1" t="s">
        <v>126</v>
      </c>
    </row>
    <row r="7" spans="1:3" x14ac:dyDescent="0.3">
      <c r="A7" s="1">
        <v>5</v>
      </c>
      <c r="B7" s="1" t="s">
        <v>32</v>
      </c>
      <c r="C7" s="1" t="s">
        <v>127</v>
      </c>
    </row>
    <row r="8" spans="1:3" x14ac:dyDescent="0.3">
      <c r="A8" s="1">
        <v>6</v>
      </c>
      <c r="B8" s="1" t="s">
        <v>33</v>
      </c>
      <c r="C8" s="1" t="s">
        <v>128</v>
      </c>
    </row>
    <row r="9" spans="1:3" x14ac:dyDescent="0.3">
      <c r="A9" s="1">
        <v>7</v>
      </c>
      <c r="B9" s="1" t="s">
        <v>34</v>
      </c>
      <c r="C9" s="1" t="s">
        <v>129</v>
      </c>
    </row>
    <row r="10" spans="1:3" x14ac:dyDescent="0.3">
      <c r="A10" s="1">
        <v>8</v>
      </c>
      <c r="B10" s="1" t="s">
        <v>111</v>
      </c>
      <c r="C10" s="1" t="s">
        <v>91</v>
      </c>
    </row>
    <row r="11" spans="1:3" x14ac:dyDescent="0.3">
      <c r="A11" s="1">
        <v>9</v>
      </c>
      <c r="B11" s="1" t="s">
        <v>111</v>
      </c>
      <c r="C11" s="1" t="s">
        <v>92</v>
      </c>
    </row>
    <row r="12" spans="1:3" x14ac:dyDescent="0.3">
      <c r="A12" s="1">
        <v>10</v>
      </c>
      <c r="B12" s="1" t="s">
        <v>111</v>
      </c>
      <c r="C12" s="1" t="s">
        <v>93</v>
      </c>
    </row>
    <row r="13" spans="1:3" x14ac:dyDescent="0.3">
      <c r="A13" s="1">
        <v>11</v>
      </c>
      <c r="B13" s="1" t="s">
        <v>111</v>
      </c>
      <c r="C13" s="1" t="s">
        <v>94</v>
      </c>
    </row>
    <row r="14" spans="1:3" x14ac:dyDescent="0.3">
      <c r="A14" s="1">
        <v>12</v>
      </c>
      <c r="B14" s="1" t="s">
        <v>111</v>
      </c>
      <c r="C14" s="1" t="s">
        <v>95</v>
      </c>
    </row>
    <row r="15" spans="1:3" x14ac:dyDescent="0.3">
      <c r="A15" s="1">
        <v>13</v>
      </c>
      <c r="B15" s="1" t="s">
        <v>111</v>
      </c>
      <c r="C15" s="1" t="s">
        <v>96</v>
      </c>
    </row>
    <row r="16" spans="1:3" x14ac:dyDescent="0.3">
      <c r="A16" s="1">
        <v>14</v>
      </c>
      <c r="B16" s="1" t="s">
        <v>111</v>
      </c>
      <c r="C16" s="1" t="s">
        <v>97</v>
      </c>
    </row>
    <row r="17" spans="1:3" x14ac:dyDescent="0.3">
      <c r="A17" s="1">
        <v>15</v>
      </c>
      <c r="B17" s="1" t="s">
        <v>111</v>
      </c>
      <c r="C17" s="1" t="s">
        <v>98</v>
      </c>
    </row>
    <row r="18" spans="1:3" x14ac:dyDescent="0.3">
      <c r="A18" s="1">
        <v>16</v>
      </c>
      <c r="B18" s="1" t="s">
        <v>111</v>
      </c>
      <c r="C18" s="1" t="s">
        <v>99</v>
      </c>
    </row>
    <row r="19" spans="1:3" x14ac:dyDescent="0.3">
      <c r="A19" s="1">
        <v>17</v>
      </c>
      <c r="B19" s="1" t="s">
        <v>111</v>
      </c>
      <c r="C19" s="1" t="s">
        <v>100</v>
      </c>
    </row>
    <row r="20" spans="1:3" x14ac:dyDescent="0.3">
      <c r="A20" s="1">
        <v>18</v>
      </c>
      <c r="B20" s="1" t="s">
        <v>111</v>
      </c>
      <c r="C20" s="1" t="s">
        <v>101</v>
      </c>
    </row>
    <row r="21" spans="1:3" x14ac:dyDescent="0.3">
      <c r="A21" s="1">
        <v>19</v>
      </c>
      <c r="B21" s="1" t="s">
        <v>111</v>
      </c>
      <c r="C21" s="1" t="s">
        <v>102</v>
      </c>
    </row>
    <row r="22" spans="1:3" x14ac:dyDescent="0.3">
      <c r="A22" s="1">
        <v>20</v>
      </c>
      <c r="B22" s="1" t="s">
        <v>111</v>
      </c>
      <c r="C22" s="1" t="s">
        <v>103</v>
      </c>
    </row>
    <row r="23" spans="1:3" x14ac:dyDescent="0.3">
      <c r="A23" s="1">
        <v>21</v>
      </c>
      <c r="B23" s="1" t="s">
        <v>111</v>
      </c>
      <c r="C23" s="1" t="s">
        <v>104</v>
      </c>
    </row>
    <row r="24" spans="1:3" x14ac:dyDescent="0.3">
      <c r="A24" s="1">
        <v>22</v>
      </c>
      <c r="B24" s="1" t="s">
        <v>111</v>
      </c>
      <c r="C24" s="1" t="s">
        <v>105</v>
      </c>
    </row>
    <row r="25" spans="1:3" x14ac:dyDescent="0.3">
      <c r="A25" s="1">
        <v>23</v>
      </c>
      <c r="B25" s="1" t="s">
        <v>111</v>
      </c>
      <c r="C25" s="1" t="s">
        <v>106</v>
      </c>
    </row>
    <row r="26" spans="1:3" x14ac:dyDescent="0.3">
      <c r="A26" s="1">
        <v>24</v>
      </c>
      <c r="B26" s="1" t="s">
        <v>111</v>
      </c>
      <c r="C26" s="1" t="s">
        <v>107</v>
      </c>
    </row>
    <row r="27" spans="1:3" x14ac:dyDescent="0.3">
      <c r="A27" s="1">
        <v>25</v>
      </c>
      <c r="B27" s="1" t="s">
        <v>111</v>
      </c>
      <c r="C27" s="1" t="s">
        <v>108</v>
      </c>
    </row>
    <row r="28" spans="1:3" x14ac:dyDescent="0.3">
      <c r="A28" s="1">
        <v>26</v>
      </c>
      <c r="B28" s="1" t="s">
        <v>111</v>
      </c>
      <c r="C28" s="1" t="s">
        <v>109</v>
      </c>
    </row>
    <row r="29" spans="1:3" x14ac:dyDescent="0.3">
      <c r="A29" s="1">
        <v>27</v>
      </c>
      <c r="B29" s="1" t="s">
        <v>111</v>
      </c>
      <c r="C29" s="1" t="s">
        <v>87</v>
      </c>
    </row>
    <row r="30" spans="1:3" x14ac:dyDescent="0.3">
      <c r="A30" s="1">
        <v>28</v>
      </c>
      <c r="B30" s="1" t="s">
        <v>112</v>
      </c>
      <c r="C30" s="1" t="s">
        <v>49</v>
      </c>
    </row>
    <row r="31" spans="1:3" x14ac:dyDescent="0.3">
      <c r="A31" s="1">
        <v>29</v>
      </c>
      <c r="B31" s="1" t="s">
        <v>112</v>
      </c>
      <c r="C31" s="1" t="s">
        <v>50</v>
      </c>
    </row>
    <row r="32" spans="1:3" x14ac:dyDescent="0.3">
      <c r="A32" s="1">
        <v>30</v>
      </c>
      <c r="B32" s="1" t="s">
        <v>112</v>
      </c>
      <c r="C32" s="1" t="s">
        <v>51</v>
      </c>
    </row>
    <row r="33" spans="1:3" x14ac:dyDescent="0.3">
      <c r="A33" s="1">
        <v>31</v>
      </c>
      <c r="B33" s="1" t="s">
        <v>112</v>
      </c>
      <c r="C33" s="1" t="s">
        <v>67</v>
      </c>
    </row>
    <row r="34" spans="1:3" x14ac:dyDescent="0.3">
      <c r="A34" s="1">
        <v>32</v>
      </c>
      <c r="B34" s="1" t="s">
        <v>112</v>
      </c>
      <c r="C34" s="1" t="s">
        <v>52</v>
      </c>
    </row>
    <row r="35" spans="1:3" x14ac:dyDescent="0.3">
      <c r="A35" s="1">
        <v>33</v>
      </c>
      <c r="B35" s="1" t="s">
        <v>112</v>
      </c>
      <c r="C35" s="1" t="s">
        <v>53</v>
      </c>
    </row>
    <row r="36" spans="1:3" x14ac:dyDescent="0.3">
      <c r="A36" s="1">
        <v>34</v>
      </c>
      <c r="B36" s="1" t="s">
        <v>112</v>
      </c>
      <c r="C36" s="1" t="s">
        <v>54</v>
      </c>
    </row>
    <row r="37" spans="1:3" x14ac:dyDescent="0.3">
      <c r="A37" s="1">
        <v>35</v>
      </c>
      <c r="B37" s="1" t="s">
        <v>112</v>
      </c>
      <c r="C37" s="1" t="s">
        <v>55</v>
      </c>
    </row>
    <row r="38" spans="1:3" x14ac:dyDescent="0.3">
      <c r="A38" s="1">
        <v>36</v>
      </c>
      <c r="B38" s="1" t="s">
        <v>112</v>
      </c>
      <c r="C38" s="1" t="s">
        <v>56</v>
      </c>
    </row>
    <row r="39" spans="1:3" x14ac:dyDescent="0.3">
      <c r="A39" s="1">
        <v>37</v>
      </c>
      <c r="B39" s="1" t="s">
        <v>112</v>
      </c>
      <c r="C39" s="1" t="s">
        <v>57</v>
      </c>
    </row>
    <row r="40" spans="1:3" x14ac:dyDescent="0.3">
      <c r="A40" s="1">
        <v>38</v>
      </c>
      <c r="B40" s="1" t="s">
        <v>113</v>
      </c>
      <c r="C40" s="1" t="s">
        <v>115</v>
      </c>
    </row>
    <row r="41" spans="1:3" x14ac:dyDescent="0.3">
      <c r="A41" s="1">
        <v>39</v>
      </c>
      <c r="B41" s="1" t="s">
        <v>113</v>
      </c>
      <c r="C41" s="1" t="s">
        <v>116</v>
      </c>
    </row>
    <row r="42" spans="1:3" x14ac:dyDescent="0.3">
      <c r="A42" s="1">
        <v>40</v>
      </c>
      <c r="B42" s="1" t="s">
        <v>113</v>
      </c>
      <c r="C42" s="1" t="s">
        <v>117</v>
      </c>
    </row>
    <row r="43" spans="1:3" x14ac:dyDescent="0.3">
      <c r="A43" s="1">
        <v>41</v>
      </c>
      <c r="B43" s="1" t="s">
        <v>113</v>
      </c>
      <c r="C43" s="1" t="s">
        <v>118</v>
      </c>
    </row>
    <row r="44" spans="1:3" x14ac:dyDescent="0.3">
      <c r="A44" s="1">
        <v>42</v>
      </c>
      <c r="B44" s="1" t="s">
        <v>113</v>
      </c>
      <c r="C44" s="1" t="s">
        <v>119</v>
      </c>
    </row>
    <row r="45" spans="1:3" x14ac:dyDescent="0.3">
      <c r="A45" s="1">
        <v>43</v>
      </c>
      <c r="B45" s="1" t="s">
        <v>113</v>
      </c>
      <c r="C45" s="1" t="s">
        <v>120</v>
      </c>
    </row>
    <row r="46" spans="1:3" x14ac:dyDescent="0.3">
      <c r="A46" s="1">
        <v>44</v>
      </c>
      <c r="B46" s="1" t="s">
        <v>113</v>
      </c>
      <c r="C46" s="1" t="s">
        <v>121</v>
      </c>
    </row>
    <row r="47" spans="1:3" x14ac:dyDescent="0.3">
      <c r="A47" s="1">
        <v>45</v>
      </c>
      <c r="B47" s="1" t="s">
        <v>113</v>
      </c>
      <c r="C47" s="1" t="s">
        <v>122</v>
      </c>
    </row>
    <row r="48" spans="1:3" x14ac:dyDescent="0.3">
      <c r="A48" s="1">
        <v>46</v>
      </c>
      <c r="B48" s="1" t="s">
        <v>113</v>
      </c>
      <c r="C48" s="1" t="s">
        <v>123</v>
      </c>
    </row>
    <row r="49" spans="1:3" x14ac:dyDescent="0.3">
      <c r="A49" s="1">
        <v>47</v>
      </c>
      <c r="B49" s="1" t="s">
        <v>113</v>
      </c>
      <c r="C49" s="1" t="s">
        <v>124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3" sqref="D3"/>
    </sheetView>
  </sheetViews>
  <sheetFormatPr defaultRowHeight="16.5" x14ac:dyDescent="0.3"/>
  <cols>
    <col min="1" max="1" width="7.25" customWidth="1"/>
    <col min="2" max="2" width="32.5" bestFit="1" customWidth="1"/>
    <col min="3" max="3" width="9.5" bestFit="1" customWidth="1"/>
    <col min="4" max="4" width="7.5" bestFit="1" customWidth="1"/>
  </cols>
  <sheetData>
    <row r="1" spans="1:4" ht="17.25" thickBot="1" x14ac:dyDescent="0.35">
      <c r="A1" s="2" t="s">
        <v>12</v>
      </c>
      <c r="B1" s="2" t="s">
        <v>42</v>
      </c>
      <c r="C1" s="2" t="s">
        <v>70</v>
      </c>
      <c r="D1" s="2" t="s">
        <v>43</v>
      </c>
    </row>
    <row r="2" spans="1:4" x14ac:dyDescent="0.3">
      <c r="A2" s="1">
        <v>1</v>
      </c>
      <c r="B2" s="1" t="s">
        <v>44</v>
      </c>
      <c r="C2" s="1" t="s">
        <v>71</v>
      </c>
      <c r="D2" s="1">
        <v>120</v>
      </c>
    </row>
    <row r="3" spans="1:4" x14ac:dyDescent="0.3">
      <c r="A3" s="1">
        <v>2</v>
      </c>
      <c r="B3" s="1" t="s">
        <v>72</v>
      </c>
      <c r="C3" s="1" t="s">
        <v>71</v>
      </c>
      <c r="D3" s="1">
        <v>300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2"/>
  <sheetViews>
    <sheetView tabSelected="1" topLeftCell="A112" workbookViewId="0">
      <selection activeCell="G122" sqref="G122"/>
    </sheetView>
  </sheetViews>
  <sheetFormatPr defaultRowHeight="16.5" x14ac:dyDescent="0.3"/>
  <cols>
    <col min="1" max="1" width="4.5" bestFit="1" customWidth="1"/>
    <col min="2" max="2" width="11.375" bestFit="1" customWidth="1"/>
    <col min="3" max="4" width="11.375" customWidth="1"/>
    <col min="5" max="5" width="15.25" bestFit="1" customWidth="1"/>
    <col min="6" max="6" width="13.5" bestFit="1" customWidth="1"/>
    <col min="7" max="7" width="16.125" bestFit="1" customWidth="1"/>
    <col min="8" max="8" width="15.625" bestFit="1" customWidth="1"/>
    <col min="9" max="9" width="20.5" bestFit="1" customWidth="1"/>
    <col min="10" max="10" width="11.625" bestFit="1" customWidth="1"/>
    <col min="12" max="12" width="22" bestFit="1" customWidth="1"/>
  </cols>
  <sheetData>
    <row r="1" spans="1:12" ht="17.25" thickBot="1" x14ac:dyDescent="0.35">
      <c r="A1" s="2" t="s">
        <v>0</v>
      </c>
      <c r="B1" s="2" t="s">
        <v>1</v>
      </c>
      <c r="C1" s="2" t="s">
        <v>45</v>
      </c>
      <c r="D1" s="2" t="s">
        <v>11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40</v>
      </c>
      <c r="K1" s="2" t="s">
        <v>41</v>
      </c>
    </row>
    <row r="2" spans="1:12" x14ac:dyDescent="0.3">
      <c r="A2" s="12">
        <v>1</v>
      </c>
      <c r="B2" s="1">
        <v>1001</v>
      </c>
      <c r="C2" s="1" t="s">
        <v>46</v>
      </c>
      <c r="D2" s="1">
        <v>101</v>
      </c>
      <c r="E2" s="1" t="s">
        <v>82</v>
      </c>
      <c r="F2" s="1">
        <v>12</v>
      </c>
      <c r="G2" s="1">
        <v>1</v>
      </c>
      <c r="H2" s="9">
        <v>1</v>
      </c>
      <c r="I2" s="10">
        <v>20</v>
      </c>
      <c r="J2" s="1">
        <v>20</v>
      </c>
      <c r="K2" s="1">
        <v>2</v>
      </c>
      <c r="L2" s="22">
        <v>200</v>
      </c>
    </row>
    <row r="3" spans="1:12" x14ac:dyDescent="0.3">
      <c r="A3" s="12">
        <v>2</v>
      </c>
      <c r="B3" s="1">
        <v>1001</v>
      </c>
      <c r="C3" s="1" t="s">
        <v>46</v>
      </c>
      <c r="D3" s="1">
        <v>101</v>
      </c>
      <c r="E3" s="1" t="s">
        <v>82</v>
      </c>
      <c r="F3" s="1">
        <v>12</v>
      </c>
      <c r="G3" s="1">
        <v>1</v>
      </c>
      <c r="H3" s="9">
        <v>8</v>
      </c>
      <c r="I3" s="10">
        <v>114</v>
      </c>
      <c r="J3" s="1">
        <v>50</v>
      </c>
      <c r="K3" s="1">
        <v>3</v>
      </c>
      <c r="L3" s="22">
        <v>1140</v>
      </c>
    </row>
    <row r="4" spans="1:12" x14ac:dyDescent="0.3">
      <c r="A4" s="12">
        <v>3</v>
      </c>
      <c r="B4" s="1">
        <v>1001</v>
      </c>
      <c r="C4" s="1" t="s">
        <v>46</v>
      </c>
      <c r="D4" s="1">
        <v>101</v>
      </c>
      <c r="E4" s="1" t="s">
        <v>82</v>
      </c>
      <c r="F4" s="1">
        <v>12</v>
      </c>
      <c r="G4" s="1">
        <v>1</v>
      </c>
      <c r="H4" s="9">
        <v>18</v>
      </c>
      <c r="I4" s="10">
        <v>385</v>
      </c>
      <c r="J4" s="1">
        <v>60</v>
      </c>
      <c r="K4" s="1">
        <v>4</v>
      </c>
      <c r="L4" s="22">
        <v>3850</v>
      </c>
    </row>
    <row r="5" spans="1:12" x14ac:dyDescent="0.3">
      <c r="A5" s="12">
        <v>4</v>
      </c>
      <c r="B5" s="1">
        <v>1001</v>
      </c>
      <c r="C5" s="1" t="s">
        <v>46</v>
      </c>
      <c r="D5" s="1">
        <v>101</v>
      </c>
      <c r="E5" s="1" t="s">
        <v>82</v>
      </c>
      <c r="F5" s="1">
        <v>12</v>
      </c>
      <c r="G5" s="1">
        <v>1</v>
      </c>
      <c r="H5" s="9">
        <v>48</v>
      </c>
      <c r="I5" s="11">
        <v>1093</v>
      </c>
      <c r="J5" s="1">
        <v>70</v>
      </c>
      <c r="K5" s="1">
        <v>5</v>
      </c>
      <c r="L5" s="22">
        <v>10930</v>
      </c>
    </row>
    <row r="6" spans="1:12" x14ac:dyDescent="0.3">
      <c r="A6" s="12">
        <v>5</v>
      </c>
      <c r="B6" s="1">
        <v>1001</v>
      </c>
      <c r="C6" s="1" t="s">
        <v>46</v>
      </c>
      <c r="D6" s="1">
        <v>101</v>
      </c>
      <c r="E6" s="1" t="s">
        <v>82</v>
      </c>
      <c r="F6" s="1">
        <v>12</v>
      </c>
      <c r="G6" s="1">
        <v>1</v>
      </c>
      <c r="H6" s="9">
        <v>153</v>
      </c>
      <c r="I6" s="10">
        <v>2371</v>
      </c>
      <c r="J6" s="1">
        <v>80</v>
      </c>
      <c r="K6" s="1">
        <v>6</v>
      </c>
      <c r="L6" s="22">
        <v>23710</v>
      </c>
    </row>
    <row r="7" spans="1:12" x14ac:dyDescent="0.3">
      <c r="A7" s="12">
        <v>6</v>
      </c>
      <c r="B7" s="1">
        <v>1001</v>
      </c>
      <c r="C7" s="1" t="s">
        <v>46</v>
      </c>
      <c r="D7" s="1">
        <v>101</v>
      </c>
      <c r="E7" s="1" t="s">
        <v>82</v>
      </c>
      <c r="F7" s="1">
        <v>12</v>
      </c>
      <c r="G7" s="1">
        <v>1</v>
      </c>
      <c r="H7" s="9">
        <v>330</v>
      </c>
      <c r="I7" s="9">
        <v>4479</v>
      </c>
      <c r="J7" s="1">
        <v>90</v>
      </c>
      <c r="K7" s="1">
        <v>7</v>
      </c>
      <c r="L7" s="22">
        <v>44790</v>
      </c>
    </row>
    <row r="8" spans="1:12" x14ac:dyDescent="0.3">
      <c r="A8" s="12">
        <v>7</v>
      </c>
      <c r="B8" s="1">
        <v>1001</v>
      </c>
      <c r="C8" s="1" t="s">
        <v>46</v>
      </c>
      <c r="D8" s="1">
        <v>101</v>
      </c>
      <c r="E8" s="1" t="s">
        <v>82</v>
      </c>
      <c r="F8" s="1">
        <v>12</v>
      </c>
      <c r="G8" s="1">
        <v>1</v>
      </c>
      <c r="H8" s="9">
        <v>749</v>
      </c>
      <c r="I8" s="9">
        <v>7696</v>
      </c>
      <c r="J8" s="1">
        <v>100</v>
      </c>
      <c r="K8" s="1">
        <v>8</v>
      </c>
      <c r="L8" s="22">
        <v>76960</v>
      </c>
    </row>
    <row r="9" spans="1:12" x14ac:dyDescent="0.3">
      <c r="A9" s="12">
        <v>8</v>
      </c>
      <c r="B9" s="1">
        <v>1001</v>
      </c>
      <c r="C9" s="1" t="s">
        <v>46</v>
      </c>
      <c r="D9" s="1">
        <v>101</v>
      </c>
      <c r="E9" s="1" t="s">
        <v>82</v>
      </c>
      <c r="F9" s="1">
        <v>12</v>
      </c>
      <c r="G9" s="1">
        <v>1</v>
      </c>
      <c r="H9" s="9">
        <v>1370</v>
      </c>
      <c r="I9" s="9">
        <v>12337</v>
      </c>
      <c r="J9" s="1">
        <v>100</v>
      </c>
      <c r="K9" s="1">
        <v>9</v>
      </c>
      <c r="L9" s="22">
        <v>123370</v>
      </c>
    </row>
    <row r="10" spans="1:12" x14ac:dyDescent="0.3">
      <c r="A10" s="12">
        <v>9</v>
      </c>
      <c r="B10" s="1">
        <v>1001</v>
      </c>
      <c r="C10" s="1" t="s">
        <v>46</v>
      </c>
      <c r="D10" s="1">
        <v>101</v>
      </c>
      <c r="E10" s="1" t="s">
        <v>82</v>
      </c>
      <c r="F10" s="1">
        <v>12</v>
      </c>
      <c r="G10" s="1">
        <v>1</v>
      </c>
      <c r="H10" s="9">
        <v>2478</v>
      </c>
      <c r="I10" s="9">
        <v>18672</v>
      </c>
      <c r="J10" s="1">
        <v>100</v>
      </c>
      <c r="K10" s="1">
        <v>10</v>
      </c>
      <c r="L10" s="22">
        <v>186720</v>
      </c>
    </row>
    <row r="11" spans="1:12" x14ac:dyDescent="0.3">
      <c r="A11" s="12">
        <v>10</v>
      </c>
      <c r="B11" s="1">
        <v>1001</v>
      </c>
      <c r="C11" s="1" t="s">
        <v>46</v>
      </c>
      <c r="D11" s="1">
        <v>101</v>
      </c>
      <c r="E11" s="1" t="s">
        <v>82</v>
      </c>
      <c r="F11" s="1">
        <v>12</v>
      </c>
      <c r="G11" s="1">
        <v>1</v>
      </c>
      <c r="H11" s="9">
        <v>4284</v>
      </c>
      <c r="I11" s="9">
        <v>27336</v>
      </c>
      <c r="J11" s="1">
        <v>100</v>
      </c>
      <c r="K11" s="1">
        <v>11</v>
      </c>
      <c r="L11" s="22">
        <v>273360</v>
      </c>
    </row>
    <row r="12" spans="1:12" x14ac:dyDescent="0.3">
      <c r="A12" s="12">
        <v>11</v>
      </c>
      <c r="B12" s="1">
        <v>1001</v>
      </c>
      <c r="C12" s="1" t="s">
        <v>46</v>
      </c>
      <c r="D12" s="1">
        <v>101</v>
      </c>
      <c r="E12" s="1" t="s">
        <v>82</v>
      </c>
      <c r="F12" s="1">
        <v>12</v>
      </c>
      <c r="G12" s="1">
        <v>1</v>
      </c>
      <c r="H12" s="9">
        <v>6911</v>
      </c>
      <c r="I12" s="9">
        <v>38507</v>
      </c>
      <c r="J12" s="1">
        <v>100</v>
      </c>
      <c r="K12" s="1">
        <v>12</v>
      </c>
      <c r="L12" s="22">
        <v>385070</v>
      </c>
    </row>
    <row r="13" spans="1:12" x14ac:dyDescent="0.3">
      <c r="A13" s="12">
        <v>12</v>
      </c>
      <c r="B13" s="1">
        <v>1001</v>
      </c>
      <c r="C13" s="1" t="s">
        <v>46</v>
      </c>
      <c r="D13" s="1">
        <v>101</v>
      </c>
      <c r="E13" s="1" t="s">
        <v>82</v>
      </c>
      <c r="F13" s="1">
        <v>12</v>
      </c>
      <c r="G13" s="1">
        <v>1</v>
      </c>
      <c r="H13" s="9">
        <v>10722</v>
      </c>
      <c r="I13" s="9">
        <v>53023</v>
      </c>
      <c r="J13" s="1">
        <v>100</v>
      </c>
      <c r="K13" s="1">
        <v>13</v>
      </c>
      <c r="L13" s="22">
        <v>530230</v>
      </c>
    </row>
    <row r="14" spans="1:12" x14ac:dyDescent="0.3">
      <c r="A14" s="12">
        <v>13</v>
      </c>
      <c r="B14" s="1">
        <v>1001</v>
      </c>
      <c r="C14" s="1" t="s">
        <v>46</v>
      </c>
      <c r="D14" s="1">
        <v>101</v>
      </c>
      <c r="E14" s="1" t="s">
        <v>82</v>
      </c>
      <c r="F14" s="1">
        <v>12</v>
      </c>
      <c r="G14" s="1">
        <v>1</v>
      </c>
      <c r="H14" s="9">
        <v>16203</v>
      </c>
      <c r="I14" s="9">
        <v>71192</v>
      </c>
      <c r="J14" s="1">
        <v>100</v>
      </c>
      <c r="K14" s="1">
        <v>14</v>
      </c>
      <c r="L14" s="22">
        <v>711920</v>
      </c>
    </row>
    <row r="15" spans="1:12" x14ac:dyDescent="0.3">
      <c r="A15" s="12">
        <v>14</v>
      </c>
      <c r="B15" s="1">
        <v>1001</v>
      </c>
      <c r="C15" s="1" t="s">
        <v>46</v>
      </c>
      <c r="D15" s="1">
        <v>101</v>
      </c>
      <c r="E15" s="1" t="s">
        <v>82</v>
      </c>
      <c r="F15" s="1">
        <v>12</v>
      </c>
      <c r="G15" s="1">
        <v>1</v>
      </c>
      <c r="H15" s="9">
        <v>23590</v>
      </c>
      <c r="I15" s="9">
        <v>93962</v>
      </c>
      <c r="J15" s="1">
        <v>100</v>
      </c>
      <c r="K15" s="1">
        <v>15</v>
      </c>
      <c r="L15" s="22">
        <v>939620</v>
      </c>
    </row>
    <row r="16" spans="1:12" x14ac:dyDescent="0.3">
      <c r="A16" s="12">
        <v>15</v>
      </c>
      <c r="B16" s="1">
        <v>1001</v>
      </c>
      <c r="C16" s="1" t="s">
        <v>46</v>
      </c>
      <c r="D16" s="1">
        <v>101</v>
      </c>
      <c r="E16" s="1" t="s">
        <v>82</v>
      </c>
      <c r="F16" s="1">
        <v>12</v>
      </c>
      <c r="G16" s="1">
        <v>1</v>
      </c>
      <c r="H16" s="9">
        <v>33507</v>
      </c>
      <c r="I16" s="9">
        <v>122094</v>
      </c>
      <c r="J16" s="1">
        <v>100</v>
      </c>
      <c r="K16" s="1">
        <v>16</v>
      </c>
      <c r="L16" s="22">
        <v>1220940</v>
      </c>
    </row>
    <row r="17" spans="1:12" x14ac:dyDescent="0.3">
      <c r="A17" s="12">
        <v>16</v>
      </c>
      <c r="B17" s="1">
        <v>1001</v>
      </c>
      <c r="C17" s="1" t="s">
        <v>46</v>
      </c>
      <c r="D17" s="1">
        <v>101</v>
      </c>
      <c r="E17" s="1" t="s">
        <v>82</v>
      </c>
      <c r="F17" s="1">
        <v>12</v>
      </c>
      <c r="G17" s="1">
        <v>1</v>
      </c>
      <c r="H17" s="9">
        <v>46479</v>
      </c>
      <c r="I17" s="9">
        <v>156410</v>
      </c>
      <c r="J17" s="1">
        <v>100</v>
      </c>
      <c r="K17" s="1">
        <v>17</v>
      </c>
      <c r="L17" s="22">
        <v>1564100</v>
      </c>
    </row>
    <row r="18" spans="1:12" x14ac:dyDescent="0.3">
      <c r="A18" s="12">
        <v>17</v>
      </c>
      <c r="B18" s="1">
        <v>1001</v>
      </c>
      <c r="C18" s="1" t="s">
        <v>46</v>
      </c>
      <c r="D18" s="1">
        <v>101</v>
      </c>
      <c r="E18" s="1" t="s">
        <v>82</v>
      </c>
      <c r="F18" s="1">
        <v>12</v>
      </c>
      <c r="G18" s="1">
        <v>1</v>
      </c>
      <c r="H18" s="9">
        <v>63377</v>
      </c>
      <c r="I18" s="9">
        <v>197797</v>
      </c>
      <c r="J18" s="1">
        <v>100</v>
      </c>
      <c r="K18" s="1">
        <v>18</v>
      </c>
      <c r="L18" s="22">
        <v>1977970</v>
      </c>
    </row>
    <row r="19" spans="1:12" x14ac:dyDescent="0.3">
      <c r="A19" s="12">
        <v>18</v>
      </c>
      <c r="B19" s="1">
        <v>1001</v>
      </c>
      <c r="C19" s="1" t="s">
        <v>46</v>
      </c>
      <c r="D19" s="1">
        <v>101</v>
      </c>
      <c r="E19" s="1" t="s">
        <v>82</v>
      </c>
      <c r="F19" s="1">
        <v>12</v>
      </c>
      <c r="G19" s="1">
        <v>1</v>
      </c>
      <c r="H19" s="9">
        <v>84602</v>
      </c>
      <c r="I19" s="9">
        <v>247199</v>
      </c>
      <c r="J19" s="1">
        <v>100</v>
      </c>
      <c r="K19" s="1">
        <v>19</v>
      </c>
      <c r="L19" s="22">
        <v>2471990</v>
      </c>
    </row>
    <row r="20" spans="1:12" x14ac:dyDescent="0.3">
      <c r="A20" s="12">
        <v>19</v>
      </c>
      <c r="B20" s="1">
        <v>1001</v>
      </c>
      <c r="C20" s="1" t="s">
        <v>46</v>
      </c>
      <c r="D20" s="1">
        <v>101</v>
      </c>
      <c r="E20" s="1" t="s">
        <v>82</v>
      </c>
      <c r="F20" s="1">
        <v>12</v>
      </c>
      <c r="G20" s="1">
        <v>1</v>
      </c>
      <c r="H20" s="9">
        <v>111570</v>
      </c>
      <c r="I20" s="9">
        <v>306359</v>
      </c>
      <c r="J20" s="1">
        <v>100</v>
      </c>
      <c r="K20" s="1">
        <v>20</v>
      </c>
      <c r="L20" s="22">
        <v>3063590</v>
      </c>
    </row>
    <row r="21" spans="1:12" x14ac:dyDescent="0.3">
      <c r="A21" s="13">
        <v>20</v>
      </c>
      <c r="B21" s="14">
        <v>1001</v>
      </c>
      <c r="C21" s="14" t="s">
        <v>145</v>
      </c>
      <c r="D21" s="14">
        <v>101</v>
      </c>
      <c r="E21" s="14" t="s">
        <v>82</v>
      </c>
      <c r="F21" s="1">
        <v>1</v>
      </c>
      <c r="G21" s="1">
        <v>999</v>
      </c>
      <c r="H21" s="15">
        <f>H22*0.9</f>
        <v>167197.5</v>
      </c>
      <c r="I21" s="15">
        <f>376176*10</f>
        <v>3761760</v>
      </c>
      <c r="J21" s="14">
        <v>1</v>
      </c>
      <c r="K21" s="14">
        <v>21</v>
      </c>
      <c r="L21" s="22">
        <v>37617600</v>
      </c>
    </row>
    <row r="22" spans="1:12" x14ac:dyDescent="0.3">
      <c r="A22" s="12">
        <v>21</v>
      </c>
      <c r="B22" s="1">
        <v>1001</v>
      </c>
      <c r="C22" s="1" t="s">
        <v>176</v>
      </c>
      <c r="D22" s="1">
        <v>102</v>
      </c>
      <c r="E22" s="1" t="s">
        <v>82</v>
      </c>
      <c r="F22" s="1">
        <v>12</v>
      </c>
      <c r="G22" s="1">
        <v>1</v>
      </c>
      <c r="H22" s="9">
        <v>185775</v>
      </c>
      <c r="I22" s="9">
        <v>458816</v>
      </c>
      <c r="J22" s="1">
        <v>100</v>
      </c>
      <c r="K22" s="1">
        <v>22</v>
      </c>
      <c r="L22" s="22">
        <v>4588160</v>
      </c>
    </row>
    <row r="23" spans="1:12" x14ac:dyDescent="0.3">
      <c r="A23" s="12">
        <v>22</v>
      </c>
      <c r="B23" s="1">
        <v>1001</v>
      </c>
      <c r="C23" s="1" t="s">
        <v>46</v>
      </c>
      <c r="D23" s="1">
        <v>102</v>
      </c>
      <c r="E23" s="1" t="s">
        <v>82</v>
      </c>
      <c r="F23" s="1">
        <v>12</v>
      </c>
      <c r="G23" s="1">
        <v>1</v>
      </c>
      <c r="H23" s="9">
        <v>224130</v>
      </c>
      <c r="I23" s="9">
        <v>554896</v>
      </c>
      <c r="J23" s="1">
        <v>100</v>
      </c>
      <c r="K23" s="1">
        <v>23</v>
      </c>
      <c r="L23" s="22">
        <v>5548960</v>
      </c>
    </row>
    <row r="24" spans="1:12" x14ac:dyDescent="0.3">
      <c r="A24" s="12">
        <v>23</v>
      </c>
      <c r="B24" s="1">
        <v>1001</v>
      </c>
      <c r="C24" s="1" t="s">
        <v>46</v>
      </c>
      <c r="D24" s="1">
        <v>102</v>
      </c>
      <c r="E24" s="1" t="s">
        <v>82</v>
      </c>
      <c r="F24" s="1">
        <v>12</v>
      </c>
      <c r="G24" s="1">
        <v>1</v>
      </c>
      <c r="H24" s="9">
        <v>268171</v>
      </c>
      <c r="I24" s="9">
        <v>667460</v>
      </c>
      <c r="J24" s="1">
        <v>100</v>
      </c>
      <c r="K24" s="1">
        <v>24</v>
      </c>
      <c r="L24" s="22">
        <v>6674600</v>
      </c>
    </row>
    <row r="25" spans="1:12" x14ac:dyDescent="0.3">
      <c r="A25" s="12">
        <v>24</v>
      </c>
      <c r="B25" s="1">
        <v>1001</v>
      </c>
      <c r="C25" s="1" t="s">
        <v>46</v>
      </c>
      <c r="D25" s="1">
        <v>102</v>
      </c>
      <c r="E25" s="1" t="s">
        <v>82</v>
      </c>
      <c r="F25" s="1">
        <v>12</v>
      </c>
      <c r="G25" s="1">
        <v>1</v>
      </c>
      <c r="H25" s="9">
        <v>318435</v>
      </c>
      <c r="I25" s="9">
        <v>797852</v>
      </c>
      <c r="J25" s="1">
        <v>100</v>
      </c>
      <c r="K25" s="1">
        <v>25</v>
      </c>
      <c r="L25" s="22">
        <v>7978520</v>
      </c>
    </row>
    <row r="26" spans="1:12" x14ac:dyDescent="0.3">
      <c r="A26" s="12">
        <v>25</v>
      </c>
      <c r="B26" s="1">
        <v>1001</v>
      </c>
      <c r="C26" s="1" t="s">
        <v>46</v>
      </c>
      <c r="D26" s="1">
        <v>102</v>
      </c>
      <c r="E26" s="1" t="s">
        <v>82</v>
      </c>
      <c r="F26" s="1">
        <v>12</v>
      </c>
      <c r="G26" s="1">
        <v>1</v>
      </c>
      <c r="H26" s="9">
        <v>376125</v>
      </c>
      <c r="I26" s="9">
        <v>948600</v>
      </c>
      <c r="J26" s="1">
        <v>100</v>
      </c>
      <c r="K26" s="1">
        <v>26</v>
      </c>
      <c r="L26" s="22">
        <v>9486000</v>
      </c>
    </row>
    <row r="27" spans="1:12" x14ac:dyDescent="0.3">
      <c r="A27" s="12">
        <v>26</v>
      </c>
      <c r="B27" s="1">
        <v>1001</v>
      </c>
      <c r="C27" s="1" t="s">
        <v>46</v>
      </c>
      <c r="D27" s="1">
        <v>102</v>
      </c>
      <c r="E27" s="1" t="s">
        <v>82</v>
      </c>
      <c r="F27" s="1">
        <v>12</v>
      </c>
      <c r="G27" s="1">
        <v>1</v>
      </c>
      <c r="H27" s="9">
        <v>440603</v>
      </c>
      <c r="I27" s="9">
        <v>1122538</v>
      </c>
      <c r="J27" s="1">
        <v>100</v>
      </c>
      <c r="K27" s="1">
        <v>27</v>
      </c>
      <c r="L27" s="22">
        <v>11225380</v>
      </c>
    </row>
    <row r="28" spans="1:12" x14ac:dyDescent="0.3">
      <c r="A28" s="12">
        <v>27</v>
      </c>
      <c r="B28" s="1">
        <v>1002</v>
      </c>
      <c r="C28" s="1" t="s">
        <v>46</v>
      </c>
      <c r="D28" s="1">
        <v>102</v>
      </c>
      <c r="E28" s="1" t="s">
        <v>82</v>
      </c>
      <c r="F28" s="1">
        <v>12</v>
      </c>
      <c r="G28" s="1">
        <v>1</v>
      </c>
      <c r="H28" s="9">
        <v>513070</v>
      </c>
      <c r="I28" s="9">
        <v>1271521</v>
      </c>
      <c r="J28" s="1">
        <v>100</v>
      </c>
      <c r="K28" s="1">
        <v>28</v>
      </c>
      <c r="L28" s="22">
        <v>12715210</v>
      </c>
    </row>
    <row r="29" spans="1:12" x14ac:dyDescent="0.3">
      <c r="A29" s="12">
        <v>28</v>
      </c>
      <c r="B29" s="1">
        <v>1003</v>
      </c>
      <c r="C29" s="1" t="s">
        <v>46</v>
      </c>
      <c r="D29" s="1">
        <v>102</v>
      </c>
      <c r="E29" s="1" t="s">
        <v>82</v>
      </c>
      <c r="F29" s="1">
        <v>12</v>
      </c>
      <c r="G29" s="1">
        <v>1</v>
      </c>
      <c r="H29" s="9">
        <v>594162</v>
      </c>
      <c r="I29" s="9">
        <v>1436225</v>
      </c>
      <c r="J29" s="1">
        <v>100</v>
      </c>
      <c r="K29" s="1">
        <v>29</v>
      </c>
      <c r="L29" s="22">
        <v>14362250</v>
      </c>
    </row>
    <row r="30" spans="1:12" x14ac:dyDescent="0.3">
      <c r="A30" s="12">
        <v>29</v>
      </c>
      <c r="B30" s="1">
        <v>1004</v>
      </c>
      <c r="C30" s="1" t="s">
        <v>46</v>
      </c>
      <c r="D30" s="1">
        <v>102</v>
      </c>
      <c r="E30" s="1" t="s">
        <v>82</v>
      </c>
      <c r="F30" s="1">
        <v>12</v>
      </c>
      <c r="G30" s="1">
        <v>1</v>
      </c>
      <c r="H30" s="9">
        <v>684540</v>
      </c>
      <c r="I30" s="9">
        <v>1617848</v>
      </c>
      <c r="J30" s="1">
        <v>100</v>
      </c>
      <c r="K30" s="1">
        <v>30</v>
      </c>
      <c r="L30" s="22">
        <v>16178480</v>
      </c>
    </row>
    <row r="31" spans="1:12" x14ac:dyDescent="0.3">
      <c r="A31" s="12">
        <v>30</v>
      </c>
      <c r="B31" s="1">
        <v>1005</v>
      </c>
      <c r="C31" s="1" t="s">
        <v>46</v>
      </c>
      <c r="D31" s="1">
        <v>102</v>
      </c>
      <c r="E31" s="1" t="s">
        <v>82</v>
      </c>
      <c r="F31" s="1">
        <v>12</v>
      </c>
      <c r="G31" s="1">
        <v>1</v>
      </c>
      <c r="H31" s="9">
        <v>784890</v>
      </c>
      <c r="I31" s="9">
        <v>1818558</v>
      </c>
      <c r="J31" s="1">
        <v>100</v>
      </c>
      <c r="K31" s="1">
        <v>31</v>
      </c>
      <c r="L31" s="22">
        <v>18185580</v>
      </c>
    </row>
    <row r="32" spans="1:12" x14ac:dyDescent="0.3">
      <c r="A32" s="12">
        <v>31</v>
      </c>
      <c r="B32" s="1">
        <v>1006</v>
      </c>
      <c r="C32" s="1" t="s">
        <v>46</v>
      </c>
      <c r="D32" s="1">
        <v>102</v>
      </c>
      <c r="E32" s="1" t="s">
        <v>82</v>
      </c>
      <c r="F32" s="1">
        <v>12</v>
      </c>
      <c r="G32" s="1">
        <v>1</v>
      </c>
      <c r="H32" s="9">
        <v>895921</v>
      </c>
      <c r="I32" s="9">
        <v>2039837</v>
      </c>
      <c r="J32" s="1">
        <v>100</v>
      </c>
      <c r="K32" s="1">
        <v>32</v>
      </c>
      <c r="L32" s="22">
        <v>20398370</v>
      </c>
    </row>
    <row r="33" spans="1:12" x14ac:dyDescent="0.3">
      <c r="A33" s="12">
        <v>32</v>
      </c>
      <c r="B33" s="1">
        <v>1007</v>
      </c>
      <c r="C33" s="1" t="s">
        <v>46</v>
      </c>
      <c r="D33" s="1">
        <v>102</v>
      </c>
      <c r="E33" s="1" t="s">
        <v>82</v>
      </c>
      <c r="F33" s="1">
        <v>12</v>
      </c>
      <c r="G33" s="1">
        <v>1</v>
      </c>
      <c r="H33" s="9">
        <v>1019412</v>
      </c>
      <c r="I33" s="9">
        <v>2283233</v>
      </c>
      <c r="J33" s="1">
        <v>100</v>
      </c>
      <c r="K33" s="1">
        <v>33</v>
      </c>
      <c r="L33" s="22">
        <v>22832330</v>
      </c>
    </row>
    <row r="34" spans="1:12" x14ac:dyDescent="0.3">
      <c r="A34" s="12">
        <v>33</v>
      </c>
      <c r="B34" s="1">
        <v>1008</v>
      </c>
      <c r="C34" s="1" t="s">
        <v>46</v>
      </c>
      <c r="D34" s="1">
        <v>102</v>
      </c>
      <c r="E34" s="1" t="s">
        <v>82</v>
      </c>
      <c r="F34" s="1">
        <v>12</v>
      </c>
      <c r="G34" s="1">
        <v>1</v>
      </c>
      <c r="H34" s="9">
        <v>1154100</v>
      </c>
      <c r="I34" s="9">
        <v>2550350</v>
      </c>
      <c r="J34" s="1">
        <v>100</v>
      </c>
      <c r="K34" s="1">
        <v>34</v>
      </c>
      <c r="L34" s="22">
        <v>25503500</v>
      </c>
    </row>
    <row r="35" spans="1:12" x14ac:dyDescent="0.3">
      <c r="A35" s="12">
        <v>34</v>
      </c>
      <c r="B35" s="1">
        <v>1009</v>
      </c>
      <c r="C35" s="1" t="s">
        <v>46</v>
      </c>
      <c r="D35" s="1">
        <v>102</v>
      </c>
      <c r="E35" s="1" t="s">
        <v>82</v>
      </c>
      <c r="F35" s="1">
        <v>12</v>
      </c>
      <c r="G35" s="1">
        <v>1</v>
      </c>
      <c r="H35" s="9">
        <v>1301748</v>
      </c>
      <c r="I35" s="9">
        <v>2842858</v>
      </c>
      <c r="J35" s="1">
        <v>100</v>
      </c>
      <c r="K35" s="1">
        <v>35</v>
      </c>
      <c r="L35" s="22">
        <v>28428580</v>
      </c>
    </row>
    <row r="36" spans="1:12" x14ac:dyDescent="0.3">
      <c r="A36" s="12">
        <v>35</v>
      </c>
      <c r="B36" s="1">
        <v>1010</v>
      </c>
      <c r="C36" s="1" t="s">
        <v>46</v>
      </c>
      <c r="D36" s="1">
        <v>102</v>
      </c>
      <c r="E36" s="1" t="s">
        <v>82</v>
      </c>
      <c r="F36" s="1">
        <v>12</v>
      </c>
      <c r="G36" s="1">
        <v>1</v>
      </c>
      <c r="H36" s="9">
        <v>1463164</v>
      </c>
      <c r="I36" s="9">
        <v>3163734</v>
      </c>
      <c r="J36" s="1">
        <v>100</v>
      </c>
      <c r="K36" s="1">
        <v>36</v>
      </c>
      <c r="L36" s="22">
        <v>31637340</v>
      </c>
    </row>
    <row r="37" spans="1:12" x14ac:dyDescent="0.3">
      <c r="A37" s="12">
        <v>36</v>
      </c>
      <c r="B37" s="1">
        <v>1011</v>
      </c>
      <c r="C37" s="1" t="s">
        <v>46</v>
      </c>
      <c r="D37" s="1">
        <v>102</v>
      </c>
      <c r="E37" s="1" t="s">
        <v>82</v>
      </c>
      <c r="F37" s="1">
        <v>12</v>
      </c>
      <c r="G37" s="1">
        <v>1</v>
      </c>
      <c r="H37" s="9">
        <v>1639180</v>
      </c>
      <c r="I37" s="9">
        <v>3514985</v>
      </c>
      <c r="J37" s="1">
        <v>100</v>
      </c>
      <c r="K37" s="1">
        <v>37</v>
      </c>
      <c r="L37" s="22">
        <v>35149850</v>
      </c>
    </row>
    <row r="38" spans="1:12" x14ac:dyDescent="0.3">
      <c r="A38" s="12">
        <v>37</v>
      </c>
      <c r="B38" s="1">
        <v>1012</v>
      </c>
      <c r="C38" s="1" t="s">
        <v>46</v>
      </c>
      <c r="D38" s="1">
        <v>102</v>
      </c>
      <c r="E38" s="1" t="s">
        <v>82</v>
      </c>
      <c r="F38" s="1">
        <v>12</v>
      </c>
      <c r="G38" s="1">
        <v>1</v>
      </c>
      <c r="H38" s="9">
        <v>1830654</v>
      </c>
      <c r="I38" s="9">
        <v>3898692</v>
      </c>
      <c r="J38" s="1">
        <v>100</v>
      </c>
      <c r="K38" s="1">
        <v>38</v>
      </c>
      <c r="L38" s="22">
        <v>38986920</v>
      </c>
    </row>
    <row r="39" spans="1:12" x14ac:dyDescent="0.3">
      <c r="A39" s="12">
        <v>38</v>
      </c>
      <c r="B39" s="1">
        <v>1013</v>
      </c>
      <c r="C39" s="1" t="s">
        <v>46</v>
      </c>
      <c r="D39" s="1">
        <v>102</v>
      </c>
      <c r="E39" s="1" t="s">
        <v>82</v>
      </c>
      <c r="F39" s="1">
        <v>12</v>
      </c>
      <c r="G39" s="1">
        <v>1</v>
      </c>
      <c r="H39" s="9">
        <v>2038465</v>
      </c>
      <c r="I39" s="9">
        <v>4318484</v>
      </c>
      <c r="J39" s="1">
        <v>100</v>
      </c>
      <c r="K39" s="1">
        <v>39</v>
      </c>
      <c r="L39" s="22">
        <v>43184840</v>
      </c>
    </row>
    <row r="40" spans="1:12" x14ac:dyDescent="0.3">
      <c r="A40" s="12">
        <v>39</v>
      </c>
      <c r="B40" s="1">
        <v>1014</v>
      </c>
      <c r="C40" s="1" t="s">
        <v>46</v>
      </c>
      <c r="D40" s="1">
        <v>102</v>
      </c>
      <c r="E40" s="1" t="s">
        <v>82</v>
      </c>
      <c r="F40" s="1">
        <v>12</v>
      </c>
      <c r="G40" s="1">
        <v>1</v>
      </c>
      <c r="H40" s="9">
        <v>2265073</v>
      </c>
      <c r="I40" s="9">
        <v>4776822</v>
      </c>
      <c r="J40" s="1">
        <v>100</v>
      </c>
      <c r="K40" s="1">
        <v>40</v>
      </c>
      <c r="L40" s="22">
        <v>47768220</v>
      </c>
    </row>
    <row r="41" spans="1:12" x14ac:dyDescent="0.3">
      <c r="A41" s="13">
        <v>40</v>
      </c>
      <c r="B41" s="14">
        <v>1015</v>
      </c>
      <c r="C41" s="14" t="s">
        <v>146</v>
      </c>
      <c r="D41" s="14">
        <v>102</v>
      </c>
      <c r="E41" s="14" t="s">
        <v>82</v>
      </c>
      <c r="F41" s="1">
        <v>1</v>
      </c>
      <c r="G41" s="1">
        <v>999</v>
      </c>
      <c r="H41" s="15">
        <f>H42*0.9</f>
        <v>2493742.5</v>
      </c>
      <c r="I41" s="15">
        <f>5276256*10</f>
        <v>52762560</v>
      </c>
      <c r="J41" s="14">
        <v>1</v>
      </c>
      <c r="K41" s="14">
        <v>41</v>
      </c>
      <c r="L41" s="22">
        <v>527625600</v>
      </c>
    </row>
    <row r="42" spans="1:12" x14ac:dyDescent="0.3">
      <c r="A42" s="12">
        <v>41</v>
      </c>
      <c r="B42" s="1">
        <v>1016</v>
      </c>
      <c r="C42" s="1" t="s">
        <v>176</v>
      </c>
      <c r="D42" s="1">
        <v>103</v>
      </c>
      <c r="E42" s="1" t="s">
        <v>82</v>
      </c>
      <c r="F42" s="1">
        <v>12</v>
      </c>
      <c r="G42" s="1">
        <v>1</v>
      </c>
      <c r="H42" s="9">
        <v>2770825</v>
      </c>
      <c r="I42" s="9">
        <v>5821134</v>
      </c>
      <c r="J42" s="1">
        <v>100</v>
      </c>
      <c r="K42" s="1">
        <v>42</v>
      </c>
      <c r="L42" s="22">
        <v>58211340</v>
      </c>
    </row>
    <row r="43" spans="1:12" x14ac:dyDescent="0.3">
      <c r="A43" s="12">
        <v>42</v>
      </c>
      <c r="B43" s="1">
        <v>1017</v>
      </c>
      <c r="C43" s="1" t="s">
        <v>46</v>
      </c>
      <c r="D43" s="1">
        <v>103</v>
      </c>
      <c r="E43" s="1" t="s">
        <v>82</v>
      </c>
      <c r="F43" s="1">
        <v>12</v>
      </c>
      <c r="G43" s="1">
        <v>1</v>
      </c>
      <c r="H43" s="9">
        <v>3053378</v>
      </c>
      <c r="I43" s="9">
        <v>6414433</v>
      </c>
      <c r="J43" s="1">
        <v>100</v>
      </c>
      <c r="K43" s="1">
        <v>43</v>
      </c>
      <c r="L43" s="22">
        <v>64144330</v>
      </c>
    </row>
    <row r="44" spans="1:12" x14ac:dyDescent="0.3">
      <c r="A44" s="12">
        <v>43</v>
      </c>
      <c r="B44" s="1">
        <v>1018</v>
      </c>
      <c r="C44" s="1" t="s">
        <v>46</v>
      </c>
      <c r="D44" s="1">
        <v>103</v>
      </c>
      <c r="E44" s="1" t="s">
        <v>82</v>
      </c>
      <c r="F44" s="1">
        <v>12</v>
      </c>
      <c r="G44" s="1">
        <v>1</v>
      </c>
      <c r="H44" s="9">
        <v>3357044</v>
      </c>
      <c r="I44" s="9">
        <v>7061109</v>
      </c>
      <c r="J44" s="1">
        <v>100</v>
      </c>
      <c r="K44" s="1">
        <v>44</v>
      </c>
      <c r="L44" s="22">
        <v>70611090</v>
      </c>
    </row>
    <row r="45" spans="1:12" x14ac:dyDescent="0.3">
      <c r="A45" s="12">
        <v>44</v>
      </c>
      <c r="B45" s="1">
        <v>1019</v>
      </c>
      <c r="C45" s="1" t="s">
        <v>46</v>
      </c>
      <c r="D45" s="1">
        <v>103</v>
      </c>
      <c r="E45" s="1" t="s">
        <v>82</v>
      </c>
      <c r="F45" s="1">
        <v>12</v>
      </c>
      <c r="G45" s="1">
        <v>1</v>
      </c>
      <c r="H45" s="9">
        <v>3684827</v>
      </c>
      <c r="I45" s="9">
        <v>7764599</v>
      </c>
      <c r="J45" s="1">
        <v>100</v>
      </c>
      <c r="K45" s="1">
        <v>45</v>
      </c>
      <c r="L45" s="22">
        <v>77645990</v>
      </c>
    </row>
    <row r="46" spans="1:12" x14ac:dyDescent="0.3">
      <c r="A46" s="12">
        <v>45</v>
      </c>
      <c r="B46" s="1">
        <v>1020</v>
      </c>
      <c r="C46" s="1" t="s">
        <v>46</v>
      </c>
      <c r="D46" s="1">
        <v>103</v>
      </c>
      <c r="E46" s="1" t="s">
        <v>82</v>
      </c>
      <c r="F46" s="1">
        <v>12</v>
      </c>
      <c r="G46" s="1">
        <v>1</v>
      </c>
      <c r="H46" s="9">
        <v>4033921</v>
      </c>
      <c r="I46" s="9">
        <v>8528449</v>
      </c>
      <c r="J46" s="1">
        <v>100</v>
      </c>
      <c r="K46" s="1">
        <v>46</v>
      </c>
      <c r="L46" s="22">
        <v>85284490</v>
      </c>
    </row>
    <row r="47" spans="1:12" x14ac:dyDescent="0.3">
      <c r="A47" s="12">
        <v>46</v>
      </c>
      <c r="B47" s="1">
        <v>1021</v>
      </c>
      <c r="C47" s="1" t="s">
        <v>46</v>
      </c>
      <c r="D47" s="1">
        <v>103</v>
      </c>
      <c r="E47" s="1" t="s">
        <v>82</v>
      </c>
      <c r="F47" s="1">
        <v>12</v>
      </c>
      <c r="G47" s="1">
        <v>1</v>
      </c>
      <c r="H47" s="9">
        <v>4407289</v>
      </c>
      <c r="I47" s="9">
        <v>9358475</v>
      </c>
      <c r="J47" s="1">
        <v>100</v>
      </c>
      <c r="K47" s="1">
        <v>47</v>
      </c>
      <c r="L47" s="22">
        <v>93584750</v>
      </c>
    </row>
    <row r="48" spans="1:12" x14ac:dyDescent="0.3">
      <c r="A48" s="12">
        <v>47</v>
      </c>
      <c r="B48" s="1">
        <v>1022</v>
      </c>
      <c r="C48" s="1" t="s">
        <v>46</v>
      </c>
      <c r="D48" s="1">
        <v>103</v>
      </c>
      <c r="E48" s="1" t="s">
        <v>82</v>
      </c>
      <c r="F48" s="1">
        <v>12</v>
      </c>
      <c r="G48" s="1">
        <v>1</v>
      </c>
      <c r="H48" s="9">
        <v>4806032</v>
      </c>
      <c r="I48" s="9">
        <v>10258728</v>
      </c>
      <c r="J48" s="1">
        <v>100</v>
      </c>
      <c r="K48" s="1">
        <v>48</v>
      </c>
      <c r="L48" s="22">
        <v>102587280</v>
      </c>
    </row>
    <row r="49" spans="1:12" x14ac:dyDescent="0.3">
      <c r="A49" s="12">
        <v>48</v>
      </c>
      <c r="B49" s="1">
        <v>1023</v>
      </c>
      <c r="C49" s="1" t="s">
        <v>46</v>
      </c>
      <c r="D49" s="1">
        <v>103</v>
      </c>
      <c r="E49" s="1" t="s">
        <v>82</v>
      </c>
      <c r="F49" s="1">
        <v>12</v>
      </c>
      <c r="G49" s="1">
        <v>1</v>
      </c>
      <c r="H49" s="9">
        <v>5231278</v>
      </c>
      <c r="I49" s="9">
        <v>11235732</v>
      </c>
      <c r="J49" s="1">
        <v>100</v>
      </c>
      <c r="K49" s="1">
        <v>49</v>
      </c>
      <c r="L49" s="22">
        <v>112357320</v>
      </c>
    </row>
    <row r="50" spans="1:12" x14ac:dyDescent="0.3">
      <c r="A50" s="12">
        <v>49</v>
      </c>
      <c r="B50" s="1">
        <v>1024</v>
      </c>
      <c r="C50" s="1" t="s">
        <v>46</v>
      </c>
      <c r="D50" s="1">
        <v>103</v>
      </c>
      <c r="E50" s="1" t="s">
        <v>82</v>
      </c>
      <c r="F50" s="1">
        <v>12</v>
      </c>
      <c r="G50" s="1">
        <v>1</v>
      </c>
      <c r="H50" s="9">
        <v>5684175</v>
      </c>
      <c r="I50" s="9">
        <v>12296529</v>
      </c>
      <c r="J50" s="1">
        <v>100</v>
      </c>
      <c r="K50" s="1">
        <v>50</v>
      </c>
      <c r="L50" s="22">
        <v>122965290</v>
      </c>
    </row>
    <row r="51" spans="1:12" x14ac:dyDescent="0.3">
      <c r="A51" s="12">
        <v>50</v>
      </c>
      <c r="B51" s="1">
        <v>1025</v>
      </c>
      <c r="C51" s="1" t="s">
        <v>46</v>
      </c>
      <c r="D51" s="1">
        <v>103</v>
      </c>
      <c r="E51" s="1" t="s">
        <v>82</v>
      </c>
      <c r="F51" s="1">
        <v>12</v>
      </c>
      <c r="G51" s="1">
        <v>1</v>
      </c>
      <c r="H51" s="9">
        <v>6168450</v>
      </c>
      <c r="I51" s="9">
        <v>13446150</v>
      </c>
      <c r="J51" s="1">
        <v>100</v>
      </c>
      <c r="K51" s="1">
        <v>51</v>
      </c>
      <c r="L51" s="22">
        <v>134461500</v>
      </c>
    </row>
    <row r="52" spans="1:12" x14ac:dyDescent="0.3">
      <c r="A52" s="12">
        <v>51</v>
      </c>
      <c r="B52" s="1">
        <v>1026</v>
      </c>
      <c r="C52" s="1" t="s">
        <v>46</v>
      </c>
      <c r="D52" s="1">
        <v>103</v>
      </c>
      <c r="E52" s="1" t="s">
        <v>82</v>
      </c>
      <c r="F52" s="1">
        <v>12</v>
      </c>
      <c r="G52" s="1">
        <v>1</v>
      </c>
      <c r="H52" s="9">
        <v>6680304</v>
      </c>
      <c r="I52" s="9">
        <v>14689771</v>
      </c>
      <c r="J52" s="1">
        <v>100</v>
      </c>
      <c r="K52" s="1">
        <v>52</v>
      </c>
      <c r="L52" s="22">
        <v>146897710</v>
      </c>
    </row>
    <row r="53" spans="1:12" x14ac:dyDescent="0.3">
      <c r="A53" s="12">
        <v>52</v>
      </c>
      <c r="B53" s="1">
        <v>1027</v>
      </c>
      <c r="C53" s="1" t="s">
        <v>46</v>
      </c>
      <c r="D53" s="1">
        <v>103</v>
      </c>
      <c r="E53" s="1" t="s">
        <v>82</v>
      </c>
      <c r="F53" s="1">
        <v>12</v>
      </c>
      <c r="G53" s="1">
        <v>1</v>
      </c>
      <c r="H53" s="9">
        <v>7223411</v>
      </c>
      <c r="I53" s="9">
        <v>16035477</v>
      </c>
      <c r="J53" s="1">
        <v>100</v>
      </c>
      <c r="K53" s="1">
        <v>53</v>
      </c>
      <c r="L53" s="22">
        <v>160354770</v>
      </c>
    </row>
    <row r="54" spans="1:12" x14ac:dyDescent="0.3">
      <c r="A54" s="12">
        <v>53</v>
      </c>
      <c r="B54" s="1">
        <v>1028</v>
      </c>
      <c r="C54" s="1" t="s">
        <v>46</v>
      </c>
      <c r="D54" s="1">
        <v>103</v>
      </c>
      <c r="E54" s="1" t="s">
        <v>82</v>
      </c>
      <c r="F54" s="1">
        <v>12</v>
      </c>
      <c r="G54" s="1">
        <v>1</v>
      </c>
      <c r="H54" s="9">
        <v>7799019</v>
      </c>
      <c r="I54" s="9">
        <v>17491923</v>
      </c>
      <c r="J54" s="1">
        <v>100</v>
      </c>
      <c r="K54" s="1">
        <v>54</v>
      </c>
      <c r="L54" s="22">
        <v>174919230</v>
      </c>
    </row>
    <row r="55" spans="1:12" x14ac:dyDescent="0.3">
      <c r="A55" s="12">
        <v>54</v>
      </c>
      <c r="B55" s="1">
        <v>1029</v>
      </c>
      <c r="C55" s="1" t="s">
        <v>46</v>
      </c>
      <c r="D55" s="1">
        <v>103</v>
      </c>
      <c r="E55" s="1" t="s">
        <v>82</v>
      </c>
      <c r="F55" s="1">
        <v>12</v>
      </c>
      <c r="G55" s="1">
        <v>1</v>
      </c>
      <c r="H55" s="9">
        <v>8408402</v>
      </c>
      <c r="I55" s="9">
        <v>19068365</v>
      </c>
      <c r="J55" s="1">
        <v>100</v>
      </c>
      <c r="K55" s="1">
        <v>55</v>
      </c>
      <c r="L55" s="22">
        <v>190683650</v>
      </c>
    </row>
    <row r="56" spans="1:12" x14ac:dyDescent="0.3">
      <c r="A56" s="12">
        <v>55</v>
      </c>
      <c r="B56" s="1">
        <v>1030</v>
      </c>
      <c r="C56" s="1" t="s">
        <v>46</v>
      </c>
      <c r="D56" s="1">
        <v>103</v>
      </c>
      <c r="E56" s="1" t="s">
        <v>82</v>
      </c>
      <c r="F56" s="1">
        <v>12</v>
      </c>
      <c r="G56" s="1">
        <v>1</v>
      </c>
      <c r="H56" s="9">
        <v>9055942</v>
      </c>
      <c r="I56" s="9">
        <v>20771586</v>
      </c>
      <c r="J56" s="1">
        <v>100</v>
      </c>
      <c r="K56" s="1">
        <v>56</v>
      </c>
      <c r="L56" s="22">
        <v>207715860</v>
      </c>
    </row>
    <row r="57" spans="1:12" x14ac:dyDescent="0.3">
      <c r="A57" s="12">
        <v>56</v>
      </c>
      <c r="B57" s="1">
        <v>1031</v>
      </c>
      <c r="C57" s="1" t="s">
        <v>46</v>
      </c>
      <c r="D57" s="1">
        <v>103</v>
      </c>
      <c r="E57" s="1" t="s">
        <v>82</v>
      </c>
      <c r="F57" s="1">
        <v>12</v>
      </c>
      <c r="G57" s="1">
        <v>1</v>
      </c>
      <c r="H57" s="9">
        <v>9736903</v>
      </c>
      <c r="I57" s="9">
        <v>22611751</v>
      </c>
      <c r="J57" s="1">
        <v>100</v>
      </c>
      <c r="K57" s="1">
        <v>57</v>
      </c>
      <c r="L57" s="22">
        <v>226117510</v>
      </c>
    </row>
    <row r="58" spans="1:12" x14ac:dyDescent="0.3">
      <c r="A58" s="12">
        <v>57</v>
      </c>
      <c r="B58" s="1">
        <v>1032</v>
      </c>
      <c r="C58" s="1" t="s">
        <v>46</v>
      </c>
      <c r="D58" s="1">
        <v>103</v>
      </c>
      <c r="E58" s="1" t="s">
        <v>82</v>
      </c>
      <c r="F58" s="1">
        <v>12</v>
      </c>
      <c r="G58" s="1">
        <v>1</v>
      </c>
      <c r="H58" s="9">
        <v>10455606</v>
      </c>
      <c r="I58" s="9">
        <v>24599673</v>
      </c>
      <c r="J58" s="1">
        <v>100</v>
      </c>
      <c r="K58" s="1">
        <v>58</v>
      </c>
      <c r="L58" s="22">
        <v>245996730</v>
      </c>
    </row>
    <row r="59" spans="1:12" x14ac:dyDescent="0.3">
      <c r="A59" s="12">
        <v>58</v>
      </c>
      <c r="B59" s="1">
        <v>1033</v>
      </c>
      <c r="C59" s="1" t="s">
        <v>46</v>
      </c>
      <c r="D59" s="1">
        <v>103</v>
      </c>
      <c r="E59" s="1" t="s">
        <v>82</v>
      </c>
      <c r="F59" s="1">
        <v>12</v>
      </c>
      <c r="G59" s="1">
        <v>1</v>
      </c>
      <c r="H59" s="9">
        <v>11213423</v>
      </c>
      <c r="I59" s="9">
        <v>26746827</v>
      </c>
      <c r="J59" s="1">
        <v>100</v>
      </c>
      <c r="K59" s="1">
        <v>59</v>
      </c>
      <c r="L59" s="22">
        <v>267468270</v>
      </c>
    </row>
    <row r="60" spans="1:12" x14ac:dyDescent="0.3">
      <c r="A60" s="12">
        <v>59</v>
      </c>
      <c r="B60" s="1">
        <v>1034</v>
      </c>
      <c r="C60" s="1" t="s">
        <v>46</v>
      </c>
      <c r="D60" s="1">
        <v>103</v>
      </c>
      <c r="E60" s="1" t="s">
        <v>82</v>
      </c>
      <c r="F60" s="1">
        <v>12</v>
      </c>
      <c r="G60" s="1">
        <v>1</v>
      </c>
      <c r="H60" s="9">
        <v>12011747</v>
      </c>
      <c r="I60" s="9">
        <v>29061824</v>
      </c>
      <c r="J60" s="1">
        <v>100</v>
      </c>
      <c r="K60" s="1">
        <v>60</v>
      </c>
      <c r="L60" s="22">
        <v>290618240</v>
      </c>
    </row>
    <row r="61" spans="1:12" x14ac:dyDescent="0.3">
      <c r="A61" s="13">
        <v>60</v>
      </c>
      <c r="B61" s="14">
        <v>1035</v>
      </c>
      <c r="C61" s="14" t="s">
        <v>145</v>
      </c>
      <c r="D61" s="14">
        <v>103</v>
      </c>
      <c r="E61" s="14" t="s">
        <v>82</v>
      </c>
      <c r="F61" s="1">
        <v>1</v>
      </c>
      <c r="G61" s="1">
        <v>999</v>
      </c>
      <c r="H61" s="15">
        <f>H62*0.9</f>
        <v>12365478</v>
      </c>
      <c r="I61" s="15">
        <f>31560840*10</f>
        <v>315608400</v>
      </c>
      <c r="J61" s="14">
        <v>1</v>
      </c>
      <c r="K61" s="14">
        <v>61</v>
      </c>
      <c r="L61" s="22">
        <v>3156084000</v>
      </c>
    </row>
    <row r="62" spans="1:12" x14ac:dyDescent="0.3">
      <c r="A62" s="12">
        <v>61</v>
      </c>
      <c r="B62" s="1">
        <v>1036</v>
      </c>
      <c r="C62" s="1" t="s">
        <v>176</v>
      </c>
      <c r="D62" s="1">
        <v>104</v>
      </c>
      <c r="E62" s="1" t="s">
        <v>82</v>
      </c>
      <c r="F62" s="1">
        <v>12</v>
      </c>
      <c r="G62" s="1">
        <v>1</v>
      </c>
      <c r="H62" s="9">
        <v>13739420</v>
      </c>
      <c r="I62" s="9">
        <v>34253665</v>
      </c>
      <c r="J62" s="1">
        <v>100</v>
      </c>
      <c r="K62" s="1">
        <v>62</v>
      </c>
      <c r="L62" s="22">
        <v>342536650</v>
      </c>
    </row>
    <row r="63" spans="1:12" x14ac:dyDescent="0.3">
      <c r="A63" s="12">
        <v>62</v>
      </c>
      <c r="B63" s="1">
        <v>1037</v>
      </c>
      <c r="C63" s="1" t="s">
        <v>46</v>
      </c>
      <c r="D63" s="1">
        <v>104</v>
      </c>
      <c r="E63" s="1" t="s">
        <v>82</v>
      </c>
      <c r="F63" s="1">
        <v>12</v>
      </c>
      <c r="G63" s="1">
        <v>1</v>
      </c>
      <c r="H63" s="9">
        <v>14668012</v>
      </c>
      <c r="I63" s="9">
        <v>37158179</v>
      </c>
      <c r="J63" s="1">
        <v>100</v>
      </c>
      <c r="K63" s="1">
        <v>63</v>
      </c>
      <c r="L63" s="22">
        <v>371581790</v>
      </c>
    </row>
    <row r="64" spans="1:12" x14ac:dyDescent="0.3">
      <c r="A64" s="12">
        <v>63</v>
      </c>
      <c r="B64" s="1">
        <v>1038</v>
      </c>
      <c r="C64" s="1" t="s">
        <v>46</v>
      </c>
      <c r="D64" s="1">
        <v>104</v>
      </c>
      <c r="E64" s="1" t="s">
        <v>82</v>
      </c>
      <c r="F64" s="1">
        <v>12</v>
      </c>
      <c r="G64" s="1">
        <v>1</v>
      </c>
      <c r="H64" s="9">
        <v>15642940</v>
      </c>
      <c r="I64" s="9">
        <v>40285429</v>
      </c>
      <c r="J64" s="1">
        <v>100</v>
      </c>
      <c r="K64" s="1">
        <v>64</v>
      </c>
      <c r="L64" s="22">
        <v>402854290</v>
      </c>
    </row>
    <row r="65" spans="1:12" x14ac:dyDescent="0.3">
      <c r="A65" s="12">
        <v>64</v>
      </c>
      <c r="B65" s="1">
        <v>1039</v>
      </c>
      <c r="C65" s="1" t="s">
        <v>46</v>
      </c>
      <c r="D65" s="1">
        <v>104</v>
      </c>
      <c r="E65" s="1" t="s">
        <v>82</v>
      </c>
      <c r="F65" s="1">
        <v>12</v>
      </c>
      <c r="G65" s="1">
        <v>1</v>
      </c>
      <c r="H65" s="9">
        <v>16665722</v>
      </c>
      <c r="I65" s="9">
        <v>43655086</v>
      </c>
      <c r="J65" s="1">
        <v>100</v>
      </c>
      <c r="K65" s="1">
        <v>65</v>
      </c>
      <c r="L65" s="22">
        <v>436550860</v>
      </c>
    </row>
    <row r="66" spans="1:12" x14ac:dyDescent="0.3">
      <c r="A66" s="12">
        <v>65</v>
      </c>
      <c r="B66" s="1">
        <v>1040</v>
      </c>
      <c r="C66" s="1" t="s">
        <v>46</v>
      </c>
      <c r="D66" s="1">
        <v>104</v>
      </c>
      <c r="E66" s="1" t="s">
        <v>82</v>
      </c>
      <c r="F66" s="1">
        <v>12</v>
      </c>
      <c r="G66" s="1">
        <v>1</v>
      </c>
      <c r="H66" s="9">
        <v>17742211</v>
      </c>
      <c r="I66" s="9">
        <v>47283834</v>
      </c>
      <c r="J66" s="1">
        <v>100</v>
      </c>
      <c r="K66" s="1">
        <v>66</v>
      </c>
      <c r="L66" s="22">
        <v>472838340</v>
      </c>
    </row>
    <row r="67" spans="1:12" x14ac:dyDescent="0.3">
      <c r="A67" s="12">
        <v>66</v>
      </c>
      <c r="B67" s="1">
        <v>1041</v>
      </c>
      <c r="C67" s="1" t="s">
        <v>46</v>
      </c>
      <c r="D67" s="1">
        <v>104</v>
      </c>
      <c r="E67" s="1" t="s">
        <v>82</v>
      </c>
      <c r="F67" s="1">
        <v>12</v>
      </c>
      <c r="G67" s="1">
        <v>1</v>
      </c>
      <c r="H67" s="9">
        <v>18865487</v>
      </c>
      <c r="I67" s="9">
        <v>51189185</v>
      </c>
      <c r="J67" s="1">
        <v>100</v>
      </c>
      <c r="K67" s="1">
        <v>67</v>
      </c>
      <c r="L67" s="22">
        <v>511891850</v>
      </c>
    </row>
    <row r="68" spans="1:12" x14ac:dyDescent="0.3">
      <c r="A68" s="12">
        <v>67</v>
      </c>
      <c r="B68" s="1">
        <v>1042</v>
      </c>
      <c r="C68" s="1" t="s">
        <v>46</v>
      </c>
      <c r="D68" s="1">
        <v>104</v>
      </c>
      <c r="E68" s="1" t="s">
        <v>82</v>
      </c>
      <c r="F68" s="1">
        <v>12</v>
      </c>
      <c r="G68" s="1">
        <v>1</v>
      </c>
      <c r="H68" s="9">
        <v>20041320</v>
      </c>
      <c r="I68" s="9">
        <v>55394080</v>
      </c>
      <c r="J68" s="1">
        <v>100</v>
      </c>
      <c r="K68" s="1">
        <v>68</v>
      </c>
      <c r="L68" s="22">
        <v>553940800</v>
      </c>
    </row>
    <row r="69" spans="1:12" x14ac:dyDescent="0.3">
      <c r="A69" s="12">
        <v>68</v>
      </c>
      <c r="B69" s="1">
        <v>1043</v>
      </c>
      <c r="C69" s="1" t="s">
        <v>46</v>
      </c>
      <c r="D69" s="1">
        <v>104</v>
      </c>
      <c r="E69" s="1" t="s">
        <v>82</v>
      </c>
      <c r="F69" s="1">
        <v>12</v>
      </c>
      <c r="G69" s="1">
        <v>1</v>
      </c>
      <c r="H69" s="9">
        <v>21271324</v>
      </c>
      <c r="I69" s="9">
        <v>59913445</v>
      </c>
      <c r="J69" s="1">
        <v>100</v>
      </c>
      <c r="K69" s="1">
        <v>69</v>
      </c>
      <c r="L69" s="22">
        <v>599134450</v>
      </c>
    </row>
    <row r="70" spans="1:12" x14ac:dyDescent="0.3">
      <c r="A70" s="12">
        <v>69</v>
      </c>
      <c r="B70" s="1">
        <v>1044</v>
      </c>
      <c r="C70" s="1" t="s">
        <v>46</v>
      </c>
      <c r="D70" s="1">
        <v>104</v>
      </c>
      <c r="E70" s="1" t="s">
        <v>82</v>
      </c>
      <c r="F70" s="1">
        <v>12</v>
      </c>
      <c r="G70" s="1">
        <v>1</v>
      </c>
      <c r="H70" s="9">
        <v>22561998</v>
      </c>
      <c r="I70" s="9">
        <v>64777118</v>
      </c>
      <c r="J70" s="1">
        <v>100</v>
      </c>
      <c r="K70" s="1">
        <v>70</v>
      </c>
      <c r="L70" s="22">
        <v>647771180</v>
      </c>
    </row>
    <row r="71" spans="1:12" x14ac:dyDescent="0.3">
      <c r="A71" s="12">
        <v>70</v>
      </c>
      <c r="B71" s="1">
        <v>1045</v>
      </c>
      <c r="C71" s="1" t="s">
        <v>46</v>
      </c>
      <c r="D71" s="1">
        <v>104</v>
      </c>
      <c r="E71" s="1" t="s">
        <v>82</v>
      </c>
      <c r="F71" s="1">
        <v>12</v>
      </c>
      <c r="G71" s="1">
        <v>1</v>
      </c>
      <c r="H71" s="9">
        <v>23905434</v>
      </c>
      <c r="I71" s="9">
        <v>70001988</v>
      </c>
      <c r="J71" s="1">
        <v>100</v>
      </c>
      <c r="K71" s="1">
        <v>71</v>
      </c>
      <c r="L71" s="22">
        <v>700019880</v>
      </c>
    </row>
    <row r="72" spans="1:12" x14ac:dyDescent="0.3">
      <c r="A72" s="12">
        <v>71</v>
      </c>
      <c r="B72" s="1">
        <v>1046</v>
      </c>
      <c r="C72" s="1" t="s">
        <v>46</v>
      </c>
      <c r="D72" s="1">
        <v>104</v>
      </c>
      <c r="E72" s="1" t="s">
        <v>82</v>
      </c>
      <c r="F72" s="1">
        <v>12</v>
      </c>
      <c r="G72" s="1">
        <v>1</v>
      </c>
      <c r="H72" s="9">
        <v>25308038</v>
      </c>
      <c r="I72" s="9">
        <v>75620746</v>
      </c>
      <c r="J72" s="1">
        <v>100</v>
      </c>
      <c r="K72" s="1">
        <v>72</v>
      </c>
      <c r="L72" s="22">
        <v>756207460</v>
      </c>
    </row>
    <row r="73" spans="1:12" x14ac:dyDescent="0.3">
      <c r="A73" s="12">
        <v>72</v>
      </c>
      <c r="B73" s="1">
        <v>1047</v>
      </c>
      <c r="C73" s="1" t="s">
        <v>46</v>
      </c>
      <c r="D73" s="1">
        <v>104</v>
      </c>
      <c r="E73" s="1" t="s">
        <v>82</v>
      </c>
      <c r="F73" s="1">
        <v>12</v>
      </c>
      <c r="G73" s="1">
        <v>1</v>
      </c>
      <c r="H73" s="9">
        <v>26771523</v>
      </c>
      <c r="I73" s="9">
        <v>81657642</v>
      </c>
      <c r="J73" s="1">
        <v>100</v>
      </c>
      <c r="K73" s="1">
        <v>73</v>
      </c>
      <c r="L73" s="22">
        <v>816576420</v>
      </c>
    </row>
    <row r="74" spans="1:12" x14ac:dyDescent="0.3">
      <c r="A74" s="12">
        <v>73</v>
      </c>
      <c r="B74" s="1">
        <v>1048</v>
      </c>
      <c r="C74" s="1" t="s">
        <v>46</v>
      </c>
      <c r="D74" s="1">
        <v>104</v>
      </c>
      <c r="E74" s="1" t="s">
        <v>82</v>
      </c>
      <c r="F74" s="1">
        <v>12</v>
      </c>
      <c r="G74" s="1">
        <v>1</v>
      </c>
      <c r="H74" s="9">
        <v>28297629</v>
      </c>
      <c r="I74" s="9">
        <v>88143365</v>
      </c>
      <c r="J74" s="1">
        <v>100</v>
      </c>
      <c r="K74" s="1">
        <v>74</v>
      </c>
      <c r="L74" s="22">
        <v>881433650</v>
      </c>
    </row>
    <row r="75" spans="1:12" x14ac:dyDescent="0.3">
      <c r="A75" s="12">
        <v>74</v>
      </c>
      <c r="B75" s="1">
        <v>1049</v>
      </c>
      <c r="C75" s="1" t="s">
        <v>46</v>
      </c>
      <c r="D75" s="1">
        <v>104</v>
      </c>
      <c r="E75" s="1" t="s">
        <v>82</v>
      </c>
      <c r="F75" s="1">
        <v>12</v>
      </c>
      <c r="G75" s="1">
        <v>1</v>
      </c>
      <c r="H75" s="9">
        <v>29893703</v>
      </c>
      <c r="I75" s="9">
        <v>95104649</v>
      </c>
      <c r="J75" s="1">
        <v>100</v>
      </c>
      <c r="K75" s="1">
        <v>75</v>
      </c>
      <c r="L75" s="22">
        <v>951046490</v>
      </c>
    </row>
    <row r="76" spans="1:12" x14ac:dyDescent="0.3">
      <c r="A76" s="12">
        <v>75</v>
      </c>
      <c r="B76" s="1">
        <v>1050</v>
      </c>
      <c r="C76" s="1" t="s">
        <v>46</v>
      </c>
      <c r="D76" s="1">
        <v>104</v>
      </c>
      <c r="E76" s="1" t="s">
        <v>82</v>
      </c>
      <c r="F76" s="1">
        <v>12</v>
      </c>
      <c r="G76" s="1">
        <v>1</v>
      </c>
      <c r="H76" s="9">
        <v>31550512</v>
      </c>
      <c r="I76" s="9">
        <v>102580762</v>
      </c>
      <c r="J76" s="1">
        <v>100</v>
      </c>
      <c r="K76" s="1">
        <v>76</v>
      </c>
      <c r="L76" s="22">
        <v>1025807620</v>
      </c>
    </row>
    <row r="77" spans="1:12" x14ac:dyDescent="0.3">
      <c r="A77" s="12">
        <v>76</v>
      </c>
      <c r="B77" s="1">
        <v>1051</v>
      </c>
      <c r="C77" s="1" t="s">
        <v>46</v>
      </c>
      <c r="D77" s="1">
        <v>104</v>
      </c>
      <c r="E77" s="1" t="s">
        <v>82</v>
      </c>
      <c r="F77" s="1">
        <v>12</v>
      </c>
      <c r="G77" s="1">
        <v>1</v>
      </c>
      <c r="H77" s="9">
        <v>33275304</v>
      </c>
      <c r="I77" s="9">
        <v>110601504</v>
      </c>
      <c r="J77" s="1">
        <v>100</v>
      </c>
      <c r="K77" s="1">
        <v>77</v>
      </c>
      <c r="L77" s="22">
        <v>1106015040</v>
      </c>
    </row>
    <row r="78" spans="1:12" x14ac:dyDescent="0.3">
      <c r="A78" s="12">
        <v>77</v>
      </c>
      <c r="B78" s="1">
        <v>1052</v>
      </c>
      <c r="C78" s="1" t="s">
        <v>46</v>
      </c>
      <c r="D78" s="1">
        <v>104</v>
      </c>
      <c r="E78" s="1" t="s">
        <v>82</v>
      </c>
      <c r="F78" s="1">
        <v>12</v>
      </c>
      <c r="G78" s="1">
        <v>1</v>
      </c>
      <c r="H78" s="9">
        <v>35069916</v>
      </c>
      <c r="I78" s="9">
        <v>119209896</v>
      </c>
      <c r="J78" s="1">
        <v>100</v>
      </c>
      <c r="K78" s="1">
        <v>78</v>
      </c>
      <c r="L78" s="22">
        <v>1192098960</v>
      </c>
    </row>
    <row r="79" spans="1:12" x14ac:dyDescent="0.3">
      <c r="A79" s="12">
        <v>78</v>
      </c>
      <c r="B79" s="1">
        <v>1053</v>
      </c>
      <c r="C79" s="1" t="s">
        <v>46</v>
      </c>
      <c r="D79" s="1">
        <v>104</v>
      </c>
      <c r="E79" s="1" t="s">
        <v>82</v>
      </c>
      <c r="F79" s="1">
        <v>12</v>
      </c>
      <c r="G79" s="1">
        <v>1</v>
      </c>
      <c r="H79" s="9">
        <v>36942413</v>
      </c>
      <c r="I79" s="9">
        <v>128445164</v>
      </c>
      <c r="J79" s="1">
        <v>100</v>
      </c>
      <c r="K79" s="1">
        <v>79</v>
      </c>
      <c r="L79" s="22">
        <v>1284451640</v>
      </c>
    </row>
    <row r="80" spans="1:12" x14ac:dyDescent="0.3">
      <c r="A80" s="12">
        <v>79</v>
      </c>
      <c r="B80" s="1">
        <v>1054</v>
      </c>
      <c r="C80" s="1" t="s">
        <v>46</v>
      </c>
      <c r="D80" s="1">
        <v>104</v>
      </c>
      <c r="E80" s="1" t="s">
        <v>82</v>
      </c>
      <c r="F80" s="1">
        <v>12</v>
      </c>
      <c r="G80" s="1">
        <v>1</v>
      </c>
      <c r="H80" s="9">
        <v>38882428</v>
      </c>
      <c r="I80" s="9">
        <v>138348366</v>
      </c>
      <c r="J80" s="1">
        <v>100</v>
      </c>
      <c r="K80" s="1">
        <v>80</v>
      </c>
      <c r="L80" s="22">
        <v>1383483660</v>
      </c>
    </row>
    <row r="81" spans="1:12" x14ac:dyDescent="0.3">
      <c r="A81" s="13">
        <v>80</v>
      </c>
      <c r="B81" s="14">
        <v>1055</v>
      </c>
      <c r="C81" s="14" t="s">
        <v>145</v>
      </c>
      <c r="D81" s="14">
        <v>104</v>
      </c>
      <c r="E81" s="14" t="s">
        <v>82</v>
      </c>
      <c r="F81" s="1">
        <v>1</v>
      </c>
      <c r="G81" s="1">
        <v>999</v>
      </c>
      <c r="H81" s="15">
        <f>H82*0.9</f>
        <v>38691738.899999999</v>
      </c>
      <c r="I81" s="15">
        <f>148968960*10</f>
        <v>1489689600</v>
      </c>
      <c r="J81" s="14">
        <v>1</v>
      </c>
      <c r="K81" s="14">
        <v>81</v>
      </c>
      <c r="L81" s="22">
        <v>14896896000</v>
      </c>
    </row>
    <row r="82" spans="1:12" x14ac:dyDescent="0.3">
      <c r="A82" s="12">
        <v>81</v>
      </c>
      <c r="B82" s="1">
        <v>1056</v>
      </c>
      <c r="C82" s="1" t="s">
        <v>176</v>
      </c>
      <c r="D82" s="1">
        <v>101</v>
      </c>
      <c r="E82" s="1" t="s">
        <v>82</v>
      </c>
      <c r="F82" s="1">
        <v>12</v>
      </c>
      <c r="G82" s="1">
        <v>1</v>
      </c>
      <c r="H82" s="9">
        <v>42990821</v>
      </c>
      <c r="I82" s="9">
        <v>160352283</v>
      </c>
      <c r="J82" s="1">
        <v>100</v>
      </c>
      <c r="K82" s="1">
        <v>82</v>
      </c>
      <c r="L82" s="22">
        <v>1603522830</v>
      </c>
    </row>
    <row r="83" spans="1:12" x14ac:dyDescent="0.3">
      <c r="A83" s="12">
        <v>82</v>
      </c>
      <c r="B83" s="1">
        <v>1057</v>
      </c>
      <c r="C83" s="1" t="s">
        <v>46</v>
      </c>
      <c r="D83" s="1">
        <v>101</v>
      </c>
      <c r="E83" s="1" t="s">
        <v>82</v>
      </c>
      <c r="F83" s="1">
        <v>12</v>
      </c>
      <c r="G83" s="1">
        <v>1</v>
      </c>
      <c r="H83" s="9">
        <v>45169949</v>
      </c>
      <c r="I83" s="9">
        <v>172559356</v>
      </c>
      <c r="J83" s="1">
        <v>100</v>
      </c>
      <c r="K83" s="1">
        <v>83</v>
      </c>
      <c r="L83" s="22">
        <v>1725593560</v>
      </c>
    </row>
    <row r="84" spans="1:12" x14ac:dyDescent="0.3">
      <c r="A84" s="12">
        <v>83</v>
      </c>
      <c r="B84" s="1">
        <v>1058</v>
      </c>
      <c r="C84" s="1" t="s">
        <v>46</v>
      </c>
      <c r="D84" s="1">
        <v>101</v>
      </c>
      <c r="E84" s="1" t="s">
        <v>82</v>
      </c>
      <c r="F84" s="1">
        <v>12</v>
      </c>
      <c r="G84" s="1">
        <v>1</v>
      </c>
      <c r="H84" s="9">
        <v>47423738</v>
      </c>
      <c r="I84" s="9">
        <v>185633474</v>
      </c>
      <c r="J84" s="1">
        <v>100</v>
      </c>
      <c r="K84" s="1">
        <v>84</v>
      </c>
      <c r="L84" s="22">
        <v>1856334740</v>
      </c>
    </row>
    <row r="85" spans="1:12" x14ac:dyDescent="0.3">
      <c r="A85" s="12">
        <v>84</v>
      </c>
      <c r="B85" s="1">
        <v>1059</v>
      </c>
      <c r="C85" s="1" t="s">
        <v>46</v>
      </c>
      <c r="D85" s="1">
        <v>101</v>
      </c>
      <c r="E85" s="1" t="s">
        <v>82</v>
      </c>
      <c r="F85" s="1">
        <v>12</v>
      </c>
      <c r="G85" s="1">
        <v>1</v>
      </c>
      <c r="H85" s="9">
        <v>49760887</v>
      </c>
      <c r="I85" s="9">
        <v>199640911</v>
      </c>
      <c r="J85" s="1">
        <v>100</v>
      </c>
      <c r="K85" s="1">
        <v>85</v>
      </c>
      <c r="L85" s="22">
        <v>1996409110</v>
      </c>
    </row>
    <row r="86" spans="1:12" x14ac:dyDescent="0.3">
      <c r="A86" s="12">
        <v>85</v>
      </c>
      <c r="B86" s="1">
        <v>1060</v>
      </c>
      <c r="C86" s="1" t="s">
        <v>46</v>
      </c>
      <c r="D86" s="1">
        <v>101</v>
      </c>
      <c r="E86" s="1" t="s">
        <v>82</v>
      </c>
      <c r="F86" s="1">
        <v>12</v>
      </c>
      <c r="G86" s="1">
        <v>1</v>
      </c>
      <c r="H86" s="9">
        <v>52190799</v>
      </c>
      <c r="I86" s="9">
        <v>214644057</v>
      </c>
      <c r="J86" s="1">
        <v>100</v>
      </c>
      <c r="K86" s="1">
        <v>86</v>
      </c>
      <c r="L86" s="22">
        <v>2146440570</v>
      </c>
    </row>
    <row r="87" spans="1:12" x14ac:dyDescent="0.3">
      <c r="A87" s="12">
        <v>86</v>
      </c>
      <c r="B87" s="1">
        <v>1061</v>
      </c>
      <c r="C87" s="1" t="s">
        <v>46</v>
      </c>
      <c r="D87" s="1">
        <v>101</v>
      </c>
      <c r="E87" s="1" t="s">
        <v>82</v>
      </c>
      <c r="F87" s="1">
        <v>12</v>
      </c>
      <c r="G87" s="1">
        <v>1</v>
      </c>
      <c r="H87" s="9">
        <v>54700963</v>
      </c>
      <c r="I87" s="9">
        <v>230715705</v>
      </c>
      <c r="J87" s="1">
        <v>100</v>
      </c>
      <c r="K87" s="1">
        <v>87</v>
      </c>
      <c r="L87" s="22">
        <v>2307157050</v>
      </c>
    </row>
    <row r="88" spans="1:12" x14ac:dyDescent="0.3">
      <c r="A88" s="12">
        <v>87</v>
      </c>
      <c r="B88" s="1">
        <v>1062</v>
      </c>
      <c r="C88" s="1" t="s">
        <v>46</v>
      </c>
      <c r="D88" s="1">
        <v>101</v>
      </c>
      <c r="E88" s="1" t="s">
        <v>82</v>
      </c>
      <c r="F88" s="1">
        <v>12</v>
      </c>
      <c r="G88" s="1">
        <v>1</v>
      </c>
      <c r="H88" s="9">
        <v>57300660</v>
      </c>
      <c r="I88" s="9">
        <v>247924562</v>
      </c>
      <c r="J88" s="1">
        <v>100</v>
      </c>
      <c r="K88" s="1">
        <v>88</v>
      </c>
      <c r="L88" s="22">
        <v>2479245620</v>
      </c>
    </row>
    <row r="89" spans="1:12" x14ac:dyDescent="0.3">
      <c r="A89" s="12">
        <v>88</v>
      </c>
      <c r="B89" s="1">
        <v>1063</v>
      </c>
      <c r="C89" s="1" t="s">
        <v>46</v>
      </c>
      <c r="D89" s="1">
        <v>101</v>
      </c>
      <c r="E89" s="1" t="s">
        <v>82</v>
      </c>
      <c r="F89" s="1">
        <v>12</v>
      </c>
      <c r="G89" s="1">
        <v>1</v>
      </c>
      <c r="H89" s="9">
        <v>59991993</v>
      </c>
      <c r="I89" s="9">
        <v>266342334</v>
      </c>
      <c r="J89" s="1">
        <v>100</v>
      </c>
      <c r="K89" s="1">
        <v>89</v>
      </c>
      <c r="L89" s="22">
        <v>2663423340</v>
      </c>
    </row>
    <row r="90" spans="1:12" x14ac:dyDescent="0.3">
      <c r="A90" s="12">
        <v>89</v>
      </c>
      <c r="B90" s="1">
        <v>1064</v>
      </c>
      <c r="C90" s="1" t="s">
        <v>46</v>
      </c>
      <c r="D90" s="1">
        <v>101</v>
      </c>
      <c r="E90" s="1" t="s">
        <v>82</v>
      </c>
      <c r="F90" s="1">
        <v>12</v>
      </c>
      <c r="G90" s="1">
        <v>1</v>
      </c>
      <c r="H90" s="9">
        <v>62785172</v>
      </c>
      <c r="I90" s="9">
        <v>286051865</v>
      </c>
      <c r="J90" s="1">
        <v>100</v>
      </c>
      <c r="K90" s="1">
        <v>90</v>
      </c>
      <c r="L90" s="22">
        <v>2860518650</v>
      </c>
    </row>
    <row r="91" spans="1:12" x14ac:dyDescent="0.3">
      <c r="A91" s="12">
        <v>90</v>
      </c>
      <c r="B91" s="1">
        <v>1065</v>
      </c>
      <c r="C91" s="1" t="s">
        <v>46</v>
      </c>
      <c r="D91" s="1">
        <v>101</v>
      </c>
      <c r="E91" s="1" t="s">
        <v>82</v>
      </c>
      <c r="F91" s="1">
        <v>12</v>
      </c>
      <c r="G91" s="1">
        <v>1</v>
      </c>
      <c r="H91" s="9">
        <v>65666376</v>
      </c>
      <c r="I91" s="9">
        <v>307148112</v>
      </c>
      <c r="J91" s="1">
        <v>100</v>
      </c>
      <c r="K91" s="1">
        <v>91</v>
      </c>
      <c r="L91" s="22">
        <v>3071481120</v>
      </c>
    </row>
    <row r="92" spans="1:12" x14ac:dyDescent="0.3">
      <c r="A92" s="12">
        <v>91</v>
      </c>
      <c r="B92" s="1">
        <v>1066</v>
      </c>
      <c r="C92" s="1" t="s">
        <v>46</v>
      </c>
      <c r="D92" s="1">
        <v>101</v>
      </c>
      <c r="E92" s="1" t="s">
        <v>82</v>
      </c>
      <c r="F92" s="1">
        <v>12</v>
      </c>
      <c r="G92" s="1">
        <v>1</v>
      </c>
      <c r="H92" s="9">
        <v>68645680</v>
      </c>
      <c r="I92" s="9">
        <v>329713811</v>
      </c>
      <c r="J92" s="1">
        <v>100</v>
      </c>
      <c r="K92" s="1">
        <v>92</v>
      </c>
      <c r="L92" s="22">
        <v>3297138110</v>
      </c>
    </row>
    <row r="93" spans="1:12" x14ac:dyDescent="0.3">
      <c r="A93" s="12">
        <v>92</v>
      </c>
      <c r="B93" s="1">
        <v>1067</v>
      </c>
      <c r="C93" s="1" t="s">
        <v>46</v>
      </c>
      <c r="D93" s="1">
        <v>101</v>
      </c>
      <c r="E93" s="1" t="s">
        <v>82</v>
      </c>
      <c r="F93" s="1">
        <v>12</v>
      </c>
      <c r="G93" s="1">
        <v>1</v>
      </c>
      <c r="H93" s="9">
        <v>71733923</v>
      </c>
      <c r="I93" s="9">
        <v>353852247</v>
      </c>
      <c r="J93" s="1">
        <v>100</v>
      </c>
      <c r="K93" s="1">
        <v>93</v>
      </c>
      <c r="L93" s="22">
        <v>3538522470</v>
      </c>
    </row>
    <row r="94" spans="1:12" x14ac:dyDescent="0.3">
      <c r="A94" s="12">
        <v>93</v>
      </c>
      <c r="B94" s="1">
        <v>1068</v>
      </c>
      <c r="C94" s="1" t="s">
        <v>46</v>
      </c>
      <c r="D94" s="1">
        <v>101</v>
      </c>
      <c r="E94" s="1" t="s">
        <v>82</v>
      </c>
      <c r="F94" s="1">
        <v>12</v>
      </c>
      <c r="G94" s="1">
        <v>1</v>
      </c>
      <c r="H94" s="9">
        <v>74916254</v>
      </c>
      <c r="I94" s="9">
        <v>379671553</v>
      </c>
      <c r="J94" s="1">
        <v>100</v>
      </c>
      <c r="K94" s="1">
        <v>94</v>
      </c>
      <c r="L94" s="22">
        <v>3796715530</v>
      </c>
    </row>
    <row r="95" spans="1:12" x14ac:dyDescent="0.3">
      <c r="A95" s="12">
        <v>94</v>
      </c>
      <c r="B95" s="1">
        <v>1069</v>
      </c>
      <c r="C95" s="1" t="s">
        <v>46</v>
      </c>
      <c r="D95" s="1">
        <v>101</v>
      </c>
      <c r="E95" s="1" t="s">
        <v>82</v>
      </c>
      <c r="F95" s="1">
        <v>12</v>
      </c>
      <c r="G95" s="1">
        <v>1</v>
      </c>
      <c r="H95" s="9">
        <v>78203371</v>
      </c>
      <c r="I95" s="9">
        <v>407275804</v>
      </c>
      <c r="J95" s="1">
        <v>100</v>
      </c>
      <c r="K95" s="1">
        <v>95</v>
      </c>
      <c r="L95" s="22">
        <v>4072758040</v>
      </c>
    </row>
    <row r="96" spans="1:12" x14ac:dyDescent="0.3">
      <c r="A96" s="12">
        <v>95</v>
      </c>
      <c r="B96" s="1">
        <v>1070</v>
      </c>
      <c r="C96" s="1" t="s">
        <v>46</v>
      </c>
      <c r="D96" s="1">
        <v>101</v>
      </c>
      <c r="E96" s="1" t="s">
        <v>82</v>
      </c>
      <c r="F96" s="1">
        <v>12</v>
      </c>
      <c r="G96" s="1">
        <v>1</v>
      </c>
      <c r="H96" s="9">
        <v>81597552</v>
      </c>
      <c r="I96" s="9">
        <v>436791769</v>
      </c>
      <c r="J96" s="1">
        <v>100</v>
      </c>
      <c r="K96" s="1">
        <v>96</v>
      </c>
      <c r="L96" s="22">
        <v>4367917690</v>
      </c>
    </row>
    <row r="97" spans="1:12" x14ac:dyDescent="0.3">
      <c r="A97" s="12">
        <v>96</v>
      </c>
      <c r="B97" s="1">
        <v>1071</v>
      </c>
      <c r="C97" s="1" t="s">
        <v>46</v>
      </c>
      <c r="D97" s="1">
        <v>101</v>
      </c>
      <c r="E97" s="1" t="s">
        <v>82</v>
      </c>
      <c r="F97" s="1">
        <v>12</v>
      </c>
      <c r="G97" s="1">
        <v>1</v>
      </c>
      <c r="H97" s="9">
        <v>85110497</v>
      </c>
      <c r="I97" s="9">
        <v>468342743</v>
      </c>
      <c r="J97" s="1">
        <v>100</v>
      </c>
      <c r="K97" s="1">
        <v>97</v>
      </c>
      <c r="L97" s="22">
        <v>4683427430</v>
      </c>
    </row>
    <row r="98" spans="1:12" x14ac:dyDescent="0.3">
      <c r="A98" s="12">
        <v>97</v>
      </c>
      <c r="B98" s="1">
        <v>1072</v>
      </c>
      <c r="C98" s="1" t="s">
        <v>46</v>
      </c>
      <c r="D98" s="1">
        <v>101</v>
      </c>
      <c r="E98" s="1" t="s">
        <v>82</v>
      </c>
      <c r="F98" s="1">
        <v>12</v>
      </c>
      <c r="G98" s="1">
        <v>1</v>
      </c>
      <c r="H98" s="9">
        <v>88725929</v>
      </c>
      <c r="I98" s="9">
        <v>502066874</v>
      </c>
      <c r="J98" s="1">
        <v>100</v>
      </c>
      <c r="K98" s="1">
        <v>98</v>
      </c>
      <c r="L98" s="22">
        <v>5020668740</v>
      </c>
    </row>
    <row r="99" spans="1:12" x14ac:dyDescent="0.3">
      <c r="A99" s="12">
        <v>98</v>
      </c>
      <c r="B99" s="1">
        <v>1073</v>
      </c>
      <c r="C99" s="1" t="s">
        <v>46</v>
      </c>
      <c r="D99" s="1">
        <v>101</v>
      </c>
      <c r="E99" s="1" t="s">
        <v>82</v>
      </c>
      <c r="F99" s="1">
        <v>12</v>
      </c>
      <c r="G99" s="1">
        <v>1</v>
      </c>
      <c r="H99" s="9">
        <v>92455403</v>
      </c>
      <c r="I99" s="9">
        <v>538098674</v>
      </c>
      <c r="J99" s="1">
        <v>100</v>
      </c>
      <c r="K99" s="1">
        <v>99</v>
      </c>
      <c r="L99" s="22">
        <v>5380986740</v>
      </c>
    </row>
    <row r="100" spans="1:12" x14ac:dyDescent="0.3">
      <c r="A100" s="12">
        <v>99</v>
      </c>
      <c r="B100" s="1">
        <v>1074</v>
      </c>
      <c r="C100" s="1" t="s">
        <v>46</v>
      </c>
      <c r="D100" s="1">
        <v>101</v>
      </c>
      <c r="E100" s="1" t="s">
        <v>82</v>
      </c>
      <c r="F100" s="1">
        <v>12</v>
      </c>
      <c r="G100" s="1">
        <v>1</v>
      </c>
      <c r="H100" s="9">
        <v>96311290</v>
      </c>
      <c r="I100" s="9">
        <v>576598122</v>
      </c>
      <c r="J100" s="1">
        <v>100</v>
      </c>
      <c r="K100" s="1">
        <v>100</v>
      </c>
      <c r="L100" s="22">
        <v>5765981220</v>
      </c>
    </row>
    <row r="101" spans="1:12" x14ac:dyDescent="0.3">
      <c r="A101" s="13">
        <v>100</v>
      </c>
      <c r="B101" s="14">
        <v>1075</v>
      </c>
      <c r="C101" s="14" t="s">
        <v>146</v>
      </c>
      <c r="D101" s="14">
        <v>101</v>
      </c>
      <c r="E101" s="14" t="s">
        <v>82</v>
      </c>
      <c r="F101" s="1">
        <v>1</v>
      </c>
      <c r="G101" s="1">
        <v>999</v>
      </c>
      <c r="H101" s="15">
        <f>H102*0.9</f>
        <v>93926115</v>
      </c>
      <c r="I101" s="15">
        <f>617722200*10</f>
        <v>6177222000</v>
      </c>
      <c r="J101" s="14">
        <v>1</v>
      </c>
      <c r="K101" s="14">
        <v>101</v>
      </c>
      <c r="L101" s="22">
        <v>61772220000</v>
      </c>
    </row>
    <row r="102" spans="1:12" x14ac:dyDescent="0.3">
      <c r="A102" s="12">
        <v>101</v>
      </c>
      <c r="B102" s="1">
        <v>1076</v>
      </c>
      <c r="C102" s="1" t="s">
        <v>176</v>
      </c>
      <c r="D102" s="1">
        <v>102</v>
      </c>
      <c r="E102" s="1" t="s">
        <v>82</v>
      </c>
      <c r="F102" s="1">
        <v>12</v>
      </c>
      <c r="G102" s="1">
        <v>1</v>
      </c>
      <c r="H102" s="9">
        <v>104362350</v>
      </c>
      <c r="I102" s="9">
        <v>661655221</v>
      </c>
      <c r="J102" s="1">
        <v>100</v>
      </c>
      <c r="K102" s="1">
        <v>102</v>
      </c>
      <c r="L102" s="22">
        <v>6616552210</v>
      </c>
    </row>
    <row r="103" spans="1:12" x14ac:dyDescent="0.3">
      <c r="A103" s="12">
        <v>102</v>
      </c>
      <c r="B103" s="1">
        <v>1077</v>
      </c>
      <c r="C103" s="1" t="s">
        <v>46</v>
      </c>
      <c r="D103" s="1">
        <v>102</v>
      </c>
      <c r="E103" s="1" t="s">
        <v>82</v>
      </c>
      <c r="F103" s="1">
        <v>12</v>
      </c>
      <c r="G103" s="1">
        <v>1</v>
      </c>
      <c r="H103" s="9">
        <v>108582802</v>
      </c>
      <c r="I103" s="9">
        <v>701819298</v>
      </c>
      <c r="J103" s="1">
        <v>100</v>
      </c>
      <c r="K103" s="1">
        <v>103</v>
      </c>
      <c r="L103" s="22">
        <v>7018192980</v>
      </c>
    </row>
    <row r="104" spans="1:12" x14ac:dyDescent="0.3">
      <c r="A104" s="12">
        <v>103</v>
      </c>
      <c r="B104" s="1">
        <v>1078</v>
      </c>
      <c r="C104" s="1" t="s">
        <v>46</v>
      </c>
      <c r="D104" s="1">
        <v>102</v>
      </c>
      <c r="E104" s="1" t="s">
        <v>82</v>
      </c>
      <c r="F104" s="1">
        <v>12</v>
      </c>
      <c r="G104" s="1">
        <v>1</v>
      </c>
      <c r="H104" s="9">
        <v>112919013</v>
      </c>
      <c r="I104" s="9">
        <v>744280760</v>
      </c>
      <c r="J104" s="1">
        <v>100</v>
      </c>
      <c r="K104" s="1">
        <v>104</v>
      </c>
      <c r="L104" s="22">
        <v>7442807600</v>
      </c>
    </row>
    <row r="105" spans="1:12" x14ac:dyDescent="0.3">
      <c r="A105" s="12">
        <v>104</v>
      </c>
      <c r="B105" s="1">
        <v>1079</v>
      </c>
      <c r="C105" s="1" t="s">
        <v>46</v>
      </c>
      <c r="D105" s="1">
        <v>102</v>
      </c>
      <c r="E105" s="1" t="s">
        <v>82</v>
      </c>
      <c r="F105" s="1">
        <v>12</v>
      </c>
      <c r="G105" s="1">
        <v>1</v>
      </c>
      <c r="H105" s="9">
        <v>117383884</v>
      </c>
      <c r="I105" s="9">
        <v>789163914</v>
      </c>
      <c r="J105" s="1">
        <v>100</v>
      </c>
      <c r="K105" s="1">
        <v>105</v>
      </c>
      <c r="L105" s="22">
        <v>7891639140</v>
      </c>
    </row>
    <row r="106" spans="1:12" x14ac:dyDescent="0.3">
      <c r="A106" s="12">
        <v>105</v>
      </c>
      <c r="B106" s="1">
        <v>1080</v>
      </c>
      <c r="C106" s="1" t="s">
        <v>46</v>
      </c>
      <c r="D106" s="1">
        <v>102</v>
      </c>
      <c r="E106" s="1" t="s">
        <v>82</v>
      </c>
      <c r="F106" s="1">
        <v>12</v>
      </c>
      <c r="G106" s="1">
        <v>1</v>
      </c>
      <c r="H106" s="9">
        <v>121991184</v>
      </c>
      <c r="I106" s="9">
        <v>836597727</v>
      </c>
      <c r="J106" s="1">
        <v>100</v>
      </c>
      <c r="K106" s="1">
        <v>106</v>
      </c>
      <c r="L106" s="22">
        <v>8365977270</v>
      </c>
    </row>
    <row r="107" spans="1:12" x14ac:dyDescent="0.3">
      <c r="A107" s="12">
        <v>106</v>
      </c>
      <c r="B107" s="1">
        <v>1081</v>
      </c>
      <c r="C107" s="1" t="s">
        <v>46</v>
      </c>
      <c r="D107" s="1">
        <v>102</v>
      </c>
      <c r="E107" s="1" t="s">
        <v>82</v>
      </c>
      <c r="F107" s="1">
        <v>12</v>
      </c>
      <c r="G107" s="1">
        <v>1</v>
      </c>
      <c r="H107" s="9">
        <v>126721181</v>
      </c>
      <c r="I107" s="9">
        <v>886715906</v>
      </c>
      <c r="J107" s="1">
        <v>100</v>
      </c>
      <c r="K107" s="1">
        <v>107</v>
      </c>
      <c r="L107" s="22">
        <v>8867159060</v>
      </c>
    </row>
    <row r="108" spans="1:12" x14ac:dyDescent="0.3">
      <c r="A108" s="12">
        <v>107</v>
      </c>
      <c r="B108" s="1">
        <v>1082</v>
      </c>
      <c r="C108" s="1" t="s">
        <v>46</v>
      </c>
      <c r="D108" s="1">
        <v>102</v>
      </c>
      <c r="E108" s="1" t="s">
        <v>82</v>
      </c>
      <c r="F108" s="1">
        <v>12</v>
      </c>
      <c r="G108" s="1">
        <v>1</v>
      </c>
      <c r="H108" s="9">
        <v>131587478</v>
      </c>
      <c r="I108" s="9">
        <v>939668660</v>
      </c>
      <c r="J108" s="1">
        <v>100</v>
      </c>
      <c r="K108" s="1">
        <v>108</v>
      </c>
      <c r="L108" s="22">
        <v>9396686600</v>
      </c>
    </row>
    <row r="109" spans="1:12" x14ac:dyDescent="0.3">
      <c r="A109" s="12">
        <v>108</v>
      </c>
      <c r="B109" s="1">
        <v>1083</v>
      </c>
      <c r="C109" s="1" t="s">
        <v>46</v>
      </c>
      <c r="D109" s="1">
        <v>102</v>
      </c>
      <c r="E109" s="1" t="s">
        <v>82</v>
      </c>
      <c r="F109" s="1">
        <v>12</v>
      </c>
      <c r="G109" s="1">
        <v>1</v>
      </c>
      <c r="H109" s="9">
        <v>136604568</v>
      </c>
      <c r="I109" s="9">
        <v>995611979</v>
      </c>
      <c r="J109" s="1">
        <v>100</v>
      </c>
      <c r="K109" s="1">
        <v>109</v>
      </c>
      <c r="L109" s="22">
        <v>9956119790</v>
      </c>
    </row>
    <row r="110" spans="1:12" x14ac:dyDescent="0.3">
      <c r="A110" s="12">
        <v>109</v>
      </c>
      <c r="B110" s="1">
        <v>1084</v>
      </c>
      <c r="C110" s="1" t="s">
        <v>46</v>
      </c>
      <c r="D110" s="1">
        <v>102</v>
      </c>
      <c r="E110" s="1" t="s">
        <v>82</v>
      </c>
      <c r="F110" s="1">
        <v>12</v>
      </c>
      <c r="G110" s="1">
        <v>1</v>
      </c>
      <c r="H110" s="9">
        <v>141751498</v>
      </c>
      <c r="I110" s="9">
        <v>1054707735</v>
      </c>
      <c r="J110" s="1">
        <v>100</v>
      </c>
      <c r="K110" s="1">
        <v>110</v>
      </c>
      <c r="L110" s="22">
        <v>10547077350</v>
      </c>
    </row>
    <row r="111" spans="1:12" x14ac:dyDescent="0.3">
      <c r="A111" s="12">
        <v>110</v>
      </c>
      <c r="B111" s="1">
        <v>1085</v>
      </c>
      <c r="C111" s="1" t="s">
        <v>46</v>
      </c>
      <c r="D111" s="1">
        <v>102</v>
      </c>
      <c r="E111" s="1" t="s">
        <v>82</v>
      </c>
      <c r="F111" s="1">
        <v>12</v>
      </c>
      <c r="G111" s="1">
        <v>1</v>
      </c>
      <c r="H111" s="9">
        <v>147042588</v>
      </c>
      <c r="I111" s="9">
        <v>1117123788</v>
      </c>
      <c r="J111" s="1">
        <v>100</v>
      </c>
      <c r="K111" s="1">
        <v>111</v>
      </c>
      <c r="L111" s="22">
        <v>11171237880</v>
      </c>
    </row>
    <row r="112" spans="1:12" x14ac:dyDescent="0.3">
      <c r="A112" s="12">
        <v>111</v>
      </c>
      <c r="B112" s="1">
        <v>1086</v>
      </c>
      <c r="C112" s="1" t="s">
        <v>46</v>
      </c>
      <c r="D112" s="1">
        <v>102</v>
      </c>
      <c r="E112" s="1" t="s">
        <v>82</v>
      </c>
      <c r="F112" s="1">
        <v>12</v>
      </c>
      <c r="G112" s="1">
        <v>1</v>
      </c>
      <c r="H112" s="9">
        <v>152493074</v>
      </c>
      <c r="I112" s="9">
        <v>1183034081</v>
      </c>
      <c r="J112" s="1">
        <v>100</v>
      </c>
      <c r="K112" s="1">
        <v>112</v>
      </c>
      <c r="L112" s="22">
        <v>11830340810</v>
      </c>
    </row>
    <row r="113" spans="1:12" x14ac:dyDescent="0.3">
      <c r="A113" s="12">
        <v>112</v>
      </c>
      <c r="B113" s="1">
        <v>1087</v>
      </c>
      <c r="C113" s="1" t="s">
        <v>46</v>
      </c>
      <c r="D113" s="1">
        <v>102</v>
      </c>
      <c r="E113" s="1" t="s">
        <v>82</v>
      </c>
      <c r="F113" s="1">
        <v>12</v>
      </c>
      <c r="G113" s="1">
        <v>1</v>
      </c>
      <c r="H113" s="9">
        <v>158080742</v>
      </c>
      <c r="I113" s="9">
        <v>1252631546</v>
      </c>
      <c r="J113" s="1">
        <v>100</v>
      </c>
      <c r="K113" s="1">
        <v>113</v>
      </c>
      <c r="L113" s="22">
        <v>12526315460</v>
      </c>
    </row>
    <row r="114" spans="1:12" x14ac:dyDescent="0.3">
      <c r="A114" s="12">
        <v>113</v>
      </c>
      <c r="B114" s="1">
        <v>1088</v>
      </c>
      <c r="C114" s="1" t="s">
        <v>46</v>
      </c>
      <c r="D114" s="1">
        <v>102</v>
      </c>
      <c r="E114" s="1" t="s">
        <v>82</v>
      </c>
      <c r="F114" s="1">
        <v>12</v>
      </c>
      <c r="G114" s="1">
        <v>1</v>
      </c>
      <c r="H114" s="9">
        <v>163833676</v>
      </c>
      <c r="I114" s="9">
        <v>1326116322</v>
      </c>
      <c r="J114" s="1">
        <v>100</v>
      </c>
      <c r="K114" s="1">
        <v>114</v>
      </c>
      <c r="L114" s="22">
        <v>13261163220</v>
      </c>
    </row>
    <row r="115" spans="1:12" x14ac:dyDescent="0.3">
      <c r="A115" s="12">
        <v>114</v>
      </c>
      <c r="B115" s="1">
        <v>1089</v>
      </c>
      <c r="C115" s="1" t="s">
        <v>46</v>
      </c>
      <c r="D115" s="1">
        <v>102</v>
      </c>
      <c r="E115" s="1" t="s">
        <v>82</v>
      </c>
      <c r="F115" s="1">
        <v>12</v>
      </c>
      <c r="G115" s="1">
        <v>1</v>
      </c>
      <c r="H115" s="9">
        <v>169728799</v>
      </c>
      <c r="I115" s="9">
        <v>1403682624</v>
      </c>
      <c r="J115" s="1">
        <v>100</v>
      </c>
      <c r="K115" s="1">
        <v>115</v>
      </c>
      <c r="L115" s="22">
        <v>14036826240</v>
      </c>
    </row>
    <row r="116" spans="1:12" x14ac:dyDescent="0.3">
      <c r="A116" s="12">
        <v>115</v>
      </c>
      <c r="B116" s="1">
        <v>1090</v>
      </c>
      <c r="C116" s="1" t="s">
        <v>46</v>
      </c>
      <c r="D116" s="1">
        <v>102</v>
      </c>
      <c r="E116" s="1" t="s">
        <v>82</v>
      </c>
      <c r="F116" s="1">
        <v>12</v>
      </c>
      <c r="G116" s="1">
        <v>1</v>
      </c>
      <c r="H116" s="9">
        <v>175781674</v>
      </c>
      <c r="I116" s="9">
        <v>1485558166</v>
      </c>
      <c r="J116" s="1">
        <v>100</v>
      </c>
      <c r="K116" s="1">
        <v>116</v>
      </c>
      <c r="L116" s="22">
        <v>14855581660</v>
      </c>
    </row>
    <row r="117" spans="1:12" x14ac:dyDescent="0.3">
      <c r="A117" s="12">
        <v>116</v>
      </c>
      <c r="B117" s="1">
        <v>1091</v>
      </c>
      <c r="C117" s="1" t="s">
        <v>46</v>
      </c>
      <c r="D117" s="1">
        <v>102</v>
      </c>
      <c r="E117" s="1" t="s">
        <v>82</v>
      </c>
      <c r="F117" s="1">
        <v>12</v>
      </c>
      <c r="G117" s="1">
        <v>1</v>
      </c>
      <c r="H117" s="9">
        <v>182008816</v>
      </c>
      <c r="I117" s="9">
        <v>1571979168</v>
      </c>
      <c r="J117" s="1">
        <v>100</v>
      </c>
      <c r="K117" s="1">
        <v>117</v>
      </c>
      <c r="L117" s="22">
        <v>15719791680</v>
      </c>
    </row>
    <row r="118" spans="1:12" x14ac:dyDescent="0.3">
      <c r="A118" s="12">
        <v>117</v>
      </c>
      <c r="B118" s="1">
        <v>1092</v>
      </c>
      <c r="C118" s="1" t="s">
        <v>46</v>
      </c>
      <c r="D118" s="1">
        <v>102</v>
      </c>
      <c r="E118" s="1" t="s">
        <v>82</v>
      </c>
      <c r="F118" s="1">
        <v>12</v>
      </c>
      <c r="G118" s="1">
        <v>1</v>
      </c>
      <c r="H118" s="9">
        <v>188385827</v>
      </c>
      <c r="I118" s="9">
        <v>1663176539</v>
      </c>
      <c r="J118" s="1">
        <v>100</v>
      </c>
      <c r="K118" s="1">
        <v>118</v>
      </c>
      <c r="L118" s="22">
        <v>16631765390</v>
      </c>
    </row>
    <row r="119" spans="1:12" x14ac:dyDescent="0.3">
      <c r="A119" s="12">
        <v>118</v>
      </c>
      <c r="B119" s="1">
        <v>1093</v>
      </c>
      <c r="C119" s="1" t="s">
        <v>46</v>
      </c>
      <c r="D119" s="1">
        <v>102</v>
      </c>
      <c r="E119" s="1" t="s">
        <v>82</v>
      </c>
      <c r="F119" s="1">
        <v>12</v>
      </c>
      <c r="G119" s="1">
        <v>1</v>
      </c>
      <c r="H119" s="9">
        <v>194929038</v>
      </c>
      <c r="I119" s="9">
        <v>1759403222</v>
      </c>
      <c r="J119" s="1">
        <v>100</v>
      </c>
      <c r="K119" s="1">
        <v>119</v>
      </c>
      <c r="L119" s="22">
        <v>17594032220</v>
      </c>
    </row>
    <row r="120" spans="1:12" x14ac:dyDescent="0.3">
      <c r="A120" s="12">
        <v>119</v>
      </c>
      <c r="B120" s="1">
        <v>1094</v>
      </c>
      <c r="C120" s="1" t="s">
        <v>46</v>
      </c>
      <c r="D120" s="1">
        <v>102</v>
      </c>
      <c r="E120" s="1" t="s">
        <v>82</v>
      </c>
      <c r="F120" s="1">
        <v>12</v>
      </c>
      <c r="G120" s="1">
        <v>1</v>
      </c>
      <c r="H120" s="9">
        <v>201655755</v>
      </c>
      <c r="I120" s="9">
        <v>1860935527</v>
      </c>
      <c r="J120" s="1">
        <v>100</v>
      </c>
      <c r="K120" s="1">
        <v>120</v>
      </c>
      <c r="L120" s="22">
        <v>18609355270</v>
      </c>
    </row>
    <row r="121" spans="1:12" x14ac:dyDescent="0.3">
      <c r="A121" s="13">
        <v>120</v>
      </c>
      <c r="B121" s="14">
        <v>1095</v>
      </c>
      <c r="C121" s="14" t="s">
        <v>145</v>
      </c>
      <c r="D121" s="14">
        <v>102</v>
      </c>
      <c r="E121" s="14" t="s">
        <v>82</v>
      </c>
      <c r="F121" s="1">
        <v>1</v>
      </c>
      <c r="G121" s="1">
        <v>999</v>
      </c>
      <c r="H121" s="15">
        <f>H122*0.9</f>
        <v>194053043.70000002</v>
      </c>
      <c r="I121" s="15">
        <f>1968045120*10</f>
        <v>19680451200</v>
      </c>
      <c r="J121" s="14">
        <v>1</v>
      </c>
      <c r="K121" s="14">
        <v>121</v>
      </c>
      <c r="L121" s="22">
        <v>196804512000</v>
      </c>
    </row>
    <row r="122" spans="1:12" x14ac:dyDescent="0.3">
      <c r="A122" s="12">
        <v>121</v>
      </c>
      <c r="B122" s="1">
        <v>1096</v>
      </c>
      <c r="C122" s="1" t="s">
        <v>176</v>
      </c>
      <c r="D122" s="1">
        <v>103</v>
      </c>
      <c r="E122" s="1" t="s">
        <v>82</v>
      </c>
      <c r="F122" s="1">
        <v>12</v>
      </c>
      <c r="G122" s="1">
        <v>1</v>
      </c>
      <c r="H122" s="9">
        <v>215614493</v>
      </c>
      <c r="I122" s="9">
        <v>2081027817</v>
      </c>
      <c r="J122" s="1">
        <v>100</v>
      </c>
      <c r="K122" s="1">
        <v>122</v>
      </c>
      <c r="L122" s="22">
        <v>20810278170</v>
      </c>
    </row>
    <row r="123" spans="1:12" x14ac:dyDescent="0.3">
      <c r="A123" s="12">
        <v>122</v>
      </c>
      <c r="B123" s="1">
        <v>1097</v>
      </c>
      <c r="C123" s="1" t="s">
        <v>46</v>
      </c>
      <c r="D123" s="1">
        <v>103</v>
      </c>
      <c r="E123" s="1" t="s">
        <v>82</v>
      </c>
      <c r="F123" s="1">
        <v>12</v>
      </c>
      <c r="G123" s="1">
        <v>1</v>
      </c>
      <c r="H123" s="9">
        <v>222851880</v>
      </c>
      <c r="I123" s="9">
        <v>2200189792</v>
      </c>
      <c r="J123" s="1">
        <v>100</v>
      </c>
      <c r="K123" s="1">
        <v>123</v>
      </c>
      <c r="L123" s="22">
        <v>22001897920</v>
      </c>
    </row>
    <row r="124" spans="1:12" x14ac:dyDescent="0.3">
      <c r="A124" s="12">
        <v>123</v>
      </c>
      <c r="B124" s="1">
        <v>1098</v>
      </c>
      <c r="C124" s="1" t="s">
        <v>46</v>
      </c>
      <c r="D124" s="1">
        <v>103</v>
      </c>
      <c r="E124" s="1" t="s">
        <v>82</v>
      </c>
      <c r="F124" s="1">
        <v>12</v>
      </c>
      <c r="G124" s="1">
        <v>1</v>
      </c>
      <c r="H124" s="9">
        <v>230270036</v>
      </c>
      <c r="I124" s="9">
        <v>2325863169</v>
      </c>
      <c r="J124" s="1">
        <v>100</v>
      </c>
      <c r="K124" s="1">
        <v>124</v>
      </c>
      <c r="L124" s="22">
        <v>23258631690</v>
      </c>
    </row>
    <row r="125" spans="1:12" x14ac:dyDescent="0.3">
      <c r="A125" s="12">
        <v>124</v>
      </c>
      <c r="B125" s="1">
        <v>1099</v>
      </c>
      <c r="C125" s="1" t="s">
        <v>46</v>
      </c>
      <c r="D125" s="1">
        <v>103</v>
      </c>
      <c r="E125" s="1" t="s">
        <v>82</v>
      </c>
      <c r="F125" s="1">
        <v>12</v>
      </c>
      <c r="G125" s="1">
        <v>1</v>
      </c>
      <c r="H125" s="9">
        <v>237887631</v>
      </c>
      <c r="I125" s="9">
        <v>2458391760</v>
      </c>
      <c r="J125" s="1">
        <v>100</v>
      </c>
      <c r="K125" s="1">
        <v>125</v>
      </c>
      <c r="L125" s="22">
        <v>24583917600</v>
      </c>
    </row>
    <row r="126" spans="1:12" x14ac:dyDescent="0.3">
      <c r="A126" s="12">
        <v>125</v>
      </c>
      <c r="B126" s="1">
        <v>1100</v>
      </c>
      <c r="C126" s="1" t="s">
        <v>46</v>
      </c>
      <c r="D126" s="1">
        <v>103</v>
      </c>
      <c r="E126" s="1" t="s">
        <v>82</v>
      </c>
      <c r="F126" s="1">
        <v>12</v>
      </c>
      <c r="G126" s="1">
        <v>1</v>
      </c>
      <c r="H126" s="9">
        <v>245676562</v>
      </c>
      <c r="I126" s="9">
        <v>2598131250</v>
      </c>
      <c r="J126" s="1">
        <v>100</v>
      </c>
      <c r="K126" s="1">
        <v>126</v>
      </c>
      <c r="L126" s="22">
        <v>25981312500</v>
      </c>
    </row>
    <row r="127" spans="1:12" x14ac:dyDescent="0.3">
      <c r="A127" s="12">
        <v>126</v>
      </c>
      <c r="B127" s="1">
        <v>1101</v>
      </c>
      <c r="C127" s="1" t="s">
        <v>46</v>
      </c>
      <c r="D127" s="1">
        <v>103</v>
      </c>
      <c r="E127" s="1" t="s">
        <v>82</v>
      </c>
      <c r="F127" s="1">
        <v>12</v>
      </c>
      <c r="G127" s="1">
        <v>1</v>
      </c>
      <c r="H127" s="9">
        <v>253671490</v>
      </c>
      <c r="I127" s="9">
        <v>2745465574</v>
      </c>
      <c r="J127" s="1">
        <v>100</v>
      </c>
      <c r="K127" s="1">
        <v>127</v>
      </c>
      <c r="L127" s="22">
        <v>27454655740</v>
      </c>
    </row>
    <row r="128" spans="1:12" x14ac:dyDescent="0.3">
      <c r="A128" s="12">
        <v>127</v>
      </c>
      <c r="B128" s="1">
        <v>1102</v>
      </c>
      <c r="C128" s="1" t="s">
        <v>46</v>
      </c>
      <c r="D128" s="1">
        <v>103</v>
      </c>
      <c r="E128" s="1" t="s">
        <v>82</v>
      </c>
      <c r="F128" s="1">
        <v>12</v>
      </c>
      <c r="G128" s="1">
        <v>1</v>
      </c>
      <c r="H128" s="9">
        <v>261843347</v>
      </c>
      <c r="I128" s="9">
        <v>2900791940</v>
      </c>
      <c r="J128" s="1">
        <v>100</v>
      </c>
      <c r="K128" s="1">
        <v>128</v>
      </c>
      <c r="L128" s="22">
        <v>29007919400</v>
      </c>
    </row>
    <row r="129" spans="1:12" x14ac:dyDescent="0.3">
      <c r="A129" s="12">
        <v>128</v>
      </c>
      <c r="B129" s="1">
        <v>1103</v>
      </c>
      <c r="C129" s="1" t="s">
        <v>46</v>
      </c>
      <c r="D129" s="1">
        <v>103</v>
      </c>
      <c r="E129" s="1" t="s">
        <v>82</v>
      </c>
      <c r="F129" s="1">
        <v>12</v>
      </c>
      <c r="G129" s="1">
        <v>1</v>
      </c>
      <c r="H129" s="9">
        <v>270227865</v>
      </c>
      <c r="I129" s="9">
        <v>3064521031</v>
      </c>
      <c r="J129" s="1">
        <v>100</v>
      </c>
      <c r="K129" s="1">
        <v>129</v>
      </c>
      <c r="L129" s="22">
        <v>30645210310</v>
      </c>
    </row>
    <row r="130" spans="1:12" x14ac:dyDescent="0.3">
      <c r="A130" s="12">
        <v>129</v>
      </c>
      <c r="B130" s="1">
        <v>1104</v>
      </c>
      <c r="C130" s="1" t="s">
        <v>46</v>
      </c>
      <c r="D130" s="1">
        <v>103</v>
      </c>
      <c r="E130" s="1" t="s">
        <v>82</v>
      </c>
      <c r="F130" s="1">
        <v>12</v>
      </c>
      <c r="G130" s="1">
        <v>1</v>
      </c>
      <c r="H130" s="9">
        <v>278794993</v>
      </c>
      <c r="I130" s="9">
        <v>3237111159</v>
      </c>
      <c r="J130" s="1">
        <v>100</v>
      </c>
      <c r="K130" s="1">
        <v>130</v>
      </c>
      <c r="L130" s="22">
        <v>32371111590</v>
      </c>
    </row>
    <row r="131" spans="1:12" x14ac:dyDescent="0.3">
      <c r="A131" s="12">
        <v>130</v>
      </c>
      <c r="B131" s="1">
        <v>1105</v>
      </c>
      <c r="C131" s="1" t="s">
        <v>46</v>
      </c>
      <c r="D131" s="1">
        <v>103</v>
      </c>
      <c r="E131" s="1" t="s">
        <v>82</v>
      </c>
      <c r="F131" s="1">
        <v>12</v>
      </c>
      <c r="G131" s="1">
        <v>1</v>
      </c>
      <c r="H131" s="9">
        <v>287581554</v>
      </c>
      <c r="I131" s="9">
        <v>3419002158</v>
      </c>
      <c r="J131" s="1">
        <v>100</v>
      </c>
      <c r="K131" s="1">
        <v>131</v>
      </c>
      <c r="L131" s="22">
        <v>34190021580</v>
      </c>
    </row>
    <row r="132" spans="1:12" x14ac:dyDescent="0.3">
      <c r="A132" s="12">
        <v>131</v>
      </c>
      <c r="B132" s="1">
        <v>1106</v>
      </c>
      <c r="C132" s="1" t="s">
        <v>46</v>
      </c>
      <c r="D132" s="1">
        <v>103</v>
      </c>
      <c r="E132" s="1" t="s">
        <v>82</v>
      </c>
      <c r="F132" s="1">
        <v>12</v>
      </c>
      <c r="G132" s="1">
        <v>1</v>
      </c>
      <c r="H132" s="9">
        <v>296556495</v>
      </c>
      <c r="I132" s="9">
        <v>3610682980</v>
      </c>
      <c r="J132" s="1">
        <v>100</v>
      </c>
      <c r="K132" s="1">
        <v>132</v>
      </c>
      <c r="L132" s="22">
        <v>36106829800</v>
      </c>
    </row>
    <row r="133" spans="1:12" x14ac:dyDescent="0.3">
      <c r="A133" s="12">
        <v>132</v>
      </c>
      <c r="B133" s="1">
        <v>1107</v>
      </c>
      <c r="C133" s="1" t="s">
        <v>46</v>
      </c>
      <c r="D133" s="1">
        <v>103</v>
      </c>
      <c r="E133" s="1" t="s">
        <v>82</v>
      </c>
      <c r="F133" s="1">
        <v>12</v>
      </c>
      <c r="G133" s="1">
        <v>1</v>
      </c>
      <c r="H133" s="9">
        <v>305739973</v>
      </c>
      <c r="I133" s="9">
        <v>3812659044</v>
      </c>
      <c r="J133" s="1">
        <v>100</v>
      </c>
      <c r="K133" s="1">
        <v>133</v>
      </c>
      <c r="L133" s="22">
        <v>38126590440</v>
      </c>
    </row>
    <row r="134" spans="1:12" x14ac:dyDescent="0.3">
      <c r="A134" s="12">
        <v>133</v>
      </c>
      <c r="B134" s="1">
        <v>1108</v>
      </c>
      <c r="C134" s="1" t="s">
        <v>46</v>
      </c>
      <c r="D134" s="1">
        <v>103</v>
      </c>
      <c r="E134" s="1" t="s">
        <v>82</v>
      </c>
      <c r="F134" s="1">
        <v>12</v>
      </c>
      <c r="G134" s="1">
        <v>1</v>
      </c>
      <c r="H134" s="9">
        <v>315153238</v>
      </c>
      <c r="I134" s="9">
        <v>4025488560</v>
      </c>
      <c r="J134" s="1">
        <v>100</v>
      </c>
      <c r="K134" s="1">
        <v>134</v>
      </c>
      <c r="L134" s="22">
        <v>40254885600</v>
      </c>
    </row>
    <row r="135" spans="1:12" x14ac:dyDescent="0.3">
      <c r="A135" s="12">
        <v>134</v>
      </c>
      <c r="B135" s="1">
        <v>1109</v>
      </c>
      <c r="C135" s="1" t="s">
        <v>46</v>
      </c>
      <c r="D135" s="1">
        <v>103</v>
      </c>
      <c r="E135" s="1" t="s">
        <v>82</v>
      </c>
      <c r="F135" s="1">
        <v>12</v>
      </c>
      <c r="G135" s="1">
        <v>1</v>
      </c>
      <c r="H135" s="9">
        <v>324763707</v>
      </c>
      <c r="I135" s="9">
        <v>4249712238</v>
      </c>
      <c r="J135" s="1">
        <v>100</v>
      </c>
      <c r="K135" s="1">
        <v>135</v>
      </c>
      <c r="L135" s="22">
        <v>42497122380</v>
      </c>
    </row>
    <row r="136" spans="1:12" x14ac:dyDescent="0.3">
      <c r="A136" s="12">
        <v>135</v>
      </c>
      <c r="B136" s="1">
        <v>1110</v>
      </c>
      <c r="C136" s="1" t="s">
        <v>46</v>
      </c>
      <c r="D136" s="1">
        <v>103</v>
      </c>
      <c r="E136" s="1" t="s">
        <v>82</v>
      </c>
      <c r="F136" s="1">
        <v>12</v>
      </c>
      <c r="G136" s="1">
        <v>1</v>
      </c>
      <c r="H136" s="9">
        <v>334611000</v>
      </c>
      <c r="I136" s="9">
        <v>4485925192</v>
      </c>
      <c r="J136" s="1">
        <v>100</v>
      </c>
      <c r="K136" s="1">
        <v>136</v>
      </c>
      <c r="L136" s="22">
        <v>44859251920</v>
      </c>
    </row>
    <row r="137" spans="1:12" x14ac:dyDescent="0.3">
      <c r="A137" s="12">
        <v>136</v>
      </c>
      <c r="B137" s="1">
        <v>1111</v>
      </c>
      <c r="C137" s="1" t="s">
        <v>46</v>
      </c>
      <c r="D137" s="1">
        <v>103</v>
      </c>
      <c r="E137" s="1" t="s">
        <v>82</v>
      </c>
      <c r="F137" s="1">
        <v>12</v>
      </c>
      <c r="G137" s="1">
        <v>1</v>
      </c>
      <c r="H137" s="9">
        <v>344661492</v>
      </c>
      <c r="I137" s="9">
        <v>4734742210</v>
      </c>
      <c r="J137" s="1">
        <v>100</v>
      </c>
      <c r="K137" s="1">
        <v>137</v>
      </c>
      <c r="L137" s="22">
        <v>47347422100</v>
      </c>
    </row>
    <row r="138" spans="1:12" x14ac:dyDescent="0.3">
      <c r="A138" s="12">
        <v>137</v>
      </c>
      <c r="B138" s="1">
        <v>1112</v>
      </c>
      <c r="C138" s="1" t="s">
        <v>46</v>
      </c>
      <c r="D138" s="1">
        <v>103</v>
      </c>
      <c r="E138" s="1" t="s">
        <v>82</v>
      </c>
      <c r="F138" s="1">
        <v>12</v>
      </c>
      <c r="G138" s="1">
        <v>1</v>
      </c>
      <c r="H138" s="9">
        <v>354955949</v>
      </c>
      <c r="I138" s="9">
        <v>4996817190</v>
      </c>
      <c r="J138" s="1">
        <v>100</v>
      </c>
      <c r="K138" s="1">
        <v>138</v>
      </c>
      <c r="L138" s="22">
        <v>49968171900</v>
      </c>
    </row>
    <row r="139" spans="1:12" x14ac:dyDescent="0.3">
      <c r="A139" s="12">
        <v>138</v>
      </c>
      <c r="B139" s="1">
        <v>1113</v>
      </c>
      <c r="C139" s="1" t="s">
        <v>46</v>
      </c>
      <c r="D139" s="1">
        <v>103</v>
      </c>
      <c r="E139" s="1" t="s">
        <v>82</v>
      </c>
      <c r="F139" s="1">
        <v>12</v>
      </c>
      <c r="G139" s="1">
        <v>1</v>
      </c>
      <c r="H139" s="9">
        <v>365459692</v>
      </c>
      <c r="I139" s="9">
        <v>5272844826</v>
      </c>
      <c r="J139" s="1">
        <v>100</v>
      </c>
      <c r="K139" s="1">
        <v>139</v>
      </c>
      <c r="L139" s="22">
        <v>52728448260</v>
      </c>
    </row>
    <row r="140" spans="1:12" x14ac:dyDescent="0.3">
      <c r="A140" s="12">
        <v>139</v>
      </c>
      <c r="B140" s="1">
        <v>1114</v>
      </c>
      <c r="C140" s="1" t="s">
        <v>46</v>
      </c>
      <c r="D140" s="1">
        <v>103</v>
      </c>
      <c r="E140" s="1" t="s">
        <v>82</v>
      </c>
      <c r="F140" s="1">
        <v>12</v>
      </c>
      <c r="G140" s="1">
        <v>1</v>
      </c>
      <c r="H140" s="9">
        <v>376214647</v>
      </c>
      <c r="I140" s="9">
        <v>5563522910</v>
      </c>
      <c r="J140" s="1">
        <v>100</v>
      </c>
      <c r="K140" s="1">
        <v>140</v>
      </c>
      <c r="L140" s="22">
        <v>55635229100</v>
      </c>
    </row>
    <row r="141" spans="1:12" x14ac:dyDescent="0.3">
      <c r="A141" s="13">
        <v>140</v>
      </c>
      <c r="B141" s="14">
        <v>1115</v>
      </c>
      <c r="C141" s="14" t="s">
        <v>147</v>
      </c>
      <c r="D141" s="14">
        <v>103</v>
      </c>
      <c r="E141" s="14" t="s">
        <v>82</v>
      </c>
      <c r="F141" s="1">
        <v>1</v>
      </c>
      <c r="G141" s="1">
        <v>999</v>
      </c>
      <c r="H141" s="15">
        <f>H142*0.9</f>
        <v>358572642.30000001</v>
      </c>
      <c r="I141" s="15">
        <f>5869631208*10</f>
        <v>58696312080</v>
      </c>
      <c r="J141" s="14">
        <v>1</v>
      </c>
      <c r="K141" s="14">
        <v>141</v>
      </c>
      <c r="L141" s="22">
        <v>586963120800</v>
      </c>
    </row>
    <row r="142" spans="1:12" x14ac:dyDescent="0.3">
      <c r="A142" s="12">
        <v>141</v>
      </c>
      <c r="B142" s="1">
        <v>1116</v>
      </c>
      <c r="C142" s="1" t="s">
        <v>176</v>
      </c>
      <c r="D142" s="1">
        <v>104</v>
      </c>
      <c r="E142" s="1" t="s">
        <v>82</v>
      </c>
      <c r="F142" s="1">
        <v>12</v>
      </c>
      <c r="G142" s="1">
        <v>1</v>
      </c>
      <c r="H142" s="9">
        <v>398414047</v>
      </c>
      <c r="I142" s="9">
        <v>6191934666</v>
      </c>
      <c r="J142" s="1">
        <v>100</v>
      </c>
      <c r="K142" s="1">
        <v>142</v>
      </c>
      <c r="L142" s="22">
        <v>61919346660</v>
      </c>
    </row>
    <row r="143" spans="1:12" x14ac:dyDescent="0.3">
      <c r="A143" s="12">
        <v>142</v>
      </c>
      <c r="B143" s="1">
        <v>1117</v>
      </c>
      <c r="C143" s="1" t="s">
        <v>46</v>
      </c>
      <c r="D143" s="1">
        <v>104</v>
      </c>
      <c r="E143" s="1" t="s">
        <v>82</v>
      </c>
      <c r="F143" s="1">
        <v>12</v>
      </c>
      <c r="G143" s="1">
        <v>1</v>
      </c>
      <c r="H143" s="9">
        <v>409864755</v>
      </c>
      <c r="I143" s="9">
        <v>6531283734</v>
      </c>
      <c r="J143" s="1">
        <v>100</v>
      </c>
      <c r="K143" s="1">
        <v>143</v>
      </c>
      <c r="L143" s="22">
        <v>65312837340</v>
      </c>
    </row>
    <row r="144" spans="1:12" x14ac:dyDescent="0.3">
      <c r="A144" s="12">
        <v>143</v>
      </c>
      <c r="B144" s="1">
        <v>1118</v>
      </c>
      <c r="C144" s="1" t="s">
        <v>46</v>
      </c>
      <c r="D144" s="1">
        <v>104</v>
      </c>
      <c r="E144" s="1" t="s">
        <v>82</v>
      </c>
      <c r="F144" s="1">
        <v>12</v>
      </c>
      <c r="G144" s="1">
        <v>1</v>
      </c>
      <c r="H144" s="9">
        <v>421581491</v>
      </c>
      <c r="I144" s="9">
        <v>6888556474</v>
      </c>
      <c r="J144" s="1">
        <v>100</v>
      </c>
      <c r="K144" s="1">
        <v>144</v>
      </c>
      <c r="L144" s="22">
        <v>68885564740</v>
      </c>
    </row>
    <row r="145" spans="1:12" x14ac:dyDescent="0.3">
      <c r="A145" s="12">
        <v>144</v>
      </c>
      <c r="B145" s="1">
        <v>1119</v>
      </c>
      <c r="C145" s="1" t="s">
        <v>46</v>
      </c>
      <c r="D145" s="1">
        <v>104</v>
      </c>
      <c r="E145" s="1" t="s">
        <v>82</v>
      </c>
      <c r="F145" s="1">
        <v>12</v>
      </c>
      <c r="G145" s="1">
        <v>1</v>
      </c>
      <c r="H145" s="9">
        <v>433526307</v>
      </c>
      <c r="I145" s="9">
        <v>7264658949</v>
      </c>
      <c r="J145" s="1">
        <v>100</v>
      </c>
      <c r="K145" s="1">
        <v>145</v>
      </c>
      <c r="L145" s="22">
        <v>72646589490</v>
      </c>
    </row>
    <row r="146" spans="1:12" x14ac:dyDescent="0.3">
      <c r="A146" s="12">
        <v>145</v>
      </c>
      <c r="B146" s="1">
        <v>1120</v>
      </c>
      <c r="C146" s="1" t="s">
        <v>46</v>
      </c>
      <c r="D146" s="1">
        <v>104</v>
      </c>
      <c r="E146" s="1" t="s">
        <v>82</v>
      </c>
      <c r="F146" s="1">
        <v>12</v>
      </c>
      <c r="G146" s="1">
        <v>1</v>
      </c>
      <c r="H146" s="9">
        <v>445744717</v>
      </c>
      <c r="I146" s="9">
        <v>7660547055</v>
      </c>
      <c r="J146" s="1">
        <v>100</v>
      </c>
      <c r="K146" s="1">
        <v>146</v>
      </c>
      <c r="L146" s="22">
        <v>76605470550</v>
      </c>
    </row>
    <row r="147" spans="1:12" x14ac:dyDescent="0.3">
      <c r="A147" s="12">
        <v>146</v>
      </c>
      <c r="B147" s="1">
        <v>1121</v>
      </c>
      <c r="C147" s="1" t="s">
        <v>46</v>
      </c>
      <c r="D147" s="1">
        <v>104</v>
      </c>
      <c r="E147" s="1" t="s">
        <v>82</v>
      </c>
      <c r="F147" s="1">
        <v>12</v>
      </c>
      <c r="G147" s="1">
        <v>1</v>
      </c>
      <c r="H147" s="9">
        <v>458197651</v>
      </c>
      <c r="I147" s="9">
        <v>8077250137</v>
      </c>
      <c r="J147" s="1">
        <v>100</v>
      </c>
      <c r="K147" s="1">
        <v>147</v>
      </c>
      <c r="L147" s="22">
        <v>80772501370</v>
      </c>
    </row>
    <row r="148" spans="1:12" x14ac:dyDescent="0.3">
      <c r="A148" s="12">
        <v>147</v>
      </c>
      <c r="B148" s="1">
        <v>1122</v>
      </c>
      <c r="C148" s="1" t="s">
        <v>46</v>
      </c>
      <c r="D148" s="1">
        <v>104</v>
      </c>
      <c r="E148" s="1" t="s">
        <v>82</v>
      </c>
      <c r="F148" s="1">
        <v>12</v>
      </c>
      <c r="G148" s="1">
        <v>1</v>
      </c>
      <c r="H148" s="9">
        <v>470931851</v>
      </c>
      <c r="I148" s="9">
        <v>8515808263</v>
      </c>
      <c r="J148" s="1">
        <v>100</v>
      </c>
      <c r="K148" s="1">
        <v>148</v>
      </c>
      <c r="L148" s="22">
        <v>85158082630</v>
      </c>
    </row>
    <row r="149" spans="1:12" x14ac:dyDescent="0.3">
      <c r="A149" s="12">
        <v>148</v>
      </c>
      <c r="B149" s="1">
        <v>1123</v>
      </c>
      <c r="C149" s="1" t="s">
        <v>46</v>
      </c>
      <c r="D149" s="1">
        <v>104</v>
      </c>
      <c r="E149" s="1" t="s">
        <v>82</v>
      </c>
      <c r="F149" s="1">
        <v>12</v>
      </c>
      <c r="G149" s="1">
        <v>1</v>
      </c>
      <c r="H149" s="9">
        <v>483907110</v>
      </c>
      <c r="I149" s="9">
        <v>8977360533</v>
      </c>
      <c r="J149" s="1">
        <v>100</v>
      </c>
      <c r="K149" s="1">
        <v>149</v>
      </c>
      <c r="L149" s="22">
        <v>89773605330</v>
      </c>
    </row>
    <row r="150" spans="1:12" x14ac:dyDescent="0.3">
      <c r="A150" s="12">
        <v>149</v>
      </c>
      <c r="B150" s="1">
        <v>1124</v>
      </c>
      <c r="C150" s="1" t="s">
        <v>46</v>
      </c>
      <c r="D150" s="1">
        <v>104</v>
      </c>
      <c r="E150" s="1" t="s">
        <v>82</v>
      </c>
      <c r="F150" s="1">
        <v>12</v>
      </c>
      <c r="G150" s="1">
        <v>1</v>
      </c>
      <c r="H150" s="9">
        <v>497171414</v>
      </c>
      <c r="I150" s="9">
        <v>9463059472</v>
      </c>
      <c r="J150" s="1">
        <v>100</v>
      </c>
      <c r="K150" s="1">
        <v>150</v>
      </c>
      <c r="L150" s="22">
        <v>94630594720</v>
      </c>
    </row>
    <row r="151" spans="1:12" x14ac:dyDescent="0.3">
      <c r="A151" s="12">
        <v>150</v>
      </c>
      <c r="B151" s="1">
        <v>1125</v>
      </c>
      <c r="C151" s="1" t="s">
        <v>46</v>
      </c>
      <c r="D151" s="1">
        <v>104</v>
      </c>
      <c r="E151" s="1" t="s">
        <v>82</v>
      </c>
      <c r="F151" s="1">
        <v>12</v>
      </c>
      <c r="G151" s="1">
        <v>1</v>
      </c>
      <c r="H151" s="9">
        <v>510706350</v>
      </c>
      <c r="I151" s="9">
        <v>9974138850</v>
      </c>
      <c r="J151" s="1">
        <v>100</v>
      </c>
      <c r="K151" s="1">
        <v>151</v>
      </c>
      <c r="L151" s="22">
        <v>99741388500</v>
      </c>
    </row>
    <row r="152" spans="1:12" x14ac:dyDescent="0.3">
      <c r="A152" s="12">
        <v>151</v>
      </c>
      <c r="B152" s="1">
        <v>1126</v>
      </c>
      <c r="C152" s="1" t="s">
        <v>46</v>
      </c>
      <c r="D152" s="1">
        <v>104</v>
      </c>
      <c r="E152" s="1" t="s">
        <v>82</v>
      </c>
      <c r="F152" s="1">
        <v>12</v>
      </c>
      <c r="G152" s="1">
        <v>1</v>
      </c>
      <c r="H152" s="9">
        <v>524492315</v>
      </c>
      <c r="I152" s="9">
        <v>10511893955</v>
      </c>
      <c r="J152" s="1">
        <v>100</v>
      </c>
      <c r="K152" s="1">
        <v>152</v>
      </c>
      <c r="L152" s="22">
        <v>105118939550</v>
      </c>
    </row>
    <row r="153" spans="1:12" x14ac:dyDescent="0.3">
      <c r="A153" s="12">
        <v>152</v>
      </c>
      <c r="B153" s="1">
        <v>1127</v>
      </c>
      <c r="C153" s="1" t="s">
        <v>46</v>
      </c>
      <c r="D153" s="1">
        <v>104</v>
      </c>
      <c r="E153" s="1" t="s">
        <v>82</v>
      </c>
      <c r="F153" s="1">
        <v>12</v>
      </c>
      <c r="G153" s="1">
        <v>1</v>
      </c>
      <c r="H153" s="9">
        <v>538579192</v>
      </c>
      <c r="I153" s="9">
        <v>11077660093</v>
      </c>
      <c r="J153" s="1">
        <v>100</v>
      </c>
      <c r="K153" s="1">
        <v>153</v>
      </c>
      <c r="L153" s="22">
        <v>110776600930</v>
      </c>
    </row>
    <row r="154" spans="1:12" x14ac:dyDescent="0.3">
      <c r="A154" s="12">
        <v>153</v>
      </c>
      <c r="B154" s="1">
        <v>1128</v>
      </c>
      <c r="C154" s="1" t="s">
        <v>46</v>
      </c>
      <c r="D154" s="1">
        <v>104</v>
      </c>
      <c r="E154" s="1" t="s">
        <v>82</v>
      </c>
      <c r="F154" s="1">
        <v>12</v>
      </c>
      <c r="G154" s="1">
        <v>1</v>
      </c>
      <c r="H154" s="9">
        <v>552923857</v>
      </c>
      <c r="I154" s="9">
        <v>11672860863</v>
      </c>
      <c r="J154" s="1">
        <v>100</v>
      </c>
      <c r="K154" s="1">
        <v>154</v>
      </c>
      <c r="L154" s="22">
        <v>116728608630</v>
      </c>
    </row>
    <row r="155" spans="1:12" x14ac:dyDescent="0.3">
      <c r="A155" s="12">
        <v>154</v>
      </c>
      <c r="B155" s="1">
        <v>1129</v>
      </c>
      <c r="C155" s="1" t="s">
        <v>46</v>
      </c>
      <c r="D155" s="1">
        <v>104</v>
      </c>
      <c r="E155" s="1" t="s">
        <v>82</v>
      </c>
      <c r="F155" s="1">
        <v>12</v>
      </c>
      <c r="G155" s="1">
        <v>1</v>
      </c>
      <c r="H155" s="9">
        <v>567577478</v>
      </c>
      <c r="I155" s="9">
        <v>12298987636</v>
      </c>
      <c r="J155" s="1">
        <v>100</v>
      </c>
      <c r="K155" s="1">
        <v>155</v>
      </c>
      <c r="L155" s="22">
        <v>122989876360</v>
      </c>
    </row>
    <row r="156" spans="1:12" x14ac:dyDescent="0.3">
      <c r="A156" s="12">
        <v>155</v>
      </c>
      <c r="B156" s="1">
        <v>1130</v>
      </c>
      <c r="C156" s="1" t="s">
        <v>46</v>
      </c>
      <c r="D156" s="1">
        <v>104</v>
      </c>
      <c r="E156" s="1" t="s">
        <v>82</v>
      </c>
      <c r="F156" s="1">
        <v>12</v>
      </c>
      <c r="G156" s="1">
        <v>1</v>
      </c>
      <c r="H156" s="9">
        <v>582495735</v>
      </c>
      <c r="I156" s="9">
        <v>12957626202</v>
      </c>
      <c r="J156" s="1">
        <v>100</v>
      </c>
      <c r="K156" s="1">
        <v>156</v>
      </c>
      <c r="L156" s="22">
        <v>129576262020</v>
      </c>
    </row>
    <row r="157" spans="1:12" x14ac:dyDescent="0.3">
      <c r="A157" s="12">
        <v>156</v>
      </c>
      <c r="B157" s="1">
        <v>1131</v>
      </c>
      <c r="C157" s="1" t="s">
        <v>46</v>
      </c>
      <c r="D157" s="1">
        <v>104</v>
      </c>
      <c r="E157" s="1" t="s">
        <v>82</v>
      </c>
      <c r="F157" s="1">
        <v>12</v>
      </c>
      <c r="G157" s="1">
        <v>1</v>
      </c>
      <c r="H157" s="9">
        <v>597731097</v>
      </c>
      <c r="I157" s="9">
        <v>13650386068</v>
      </c>
      <c r="J157" s="1">
        <v>100</v>
      </c>
      <c r="K157" s="1">
        <v>157</v>
      </c>
      <c r="L157" s="22">
        <v>136503860680</v>
      </c>
    </row>
    <row r="158" spans="1:12" x14ac:dyDescent="0.3">
      <c r="A158" s="12">
        <v>157</v>
      </c>
      <c r="B158" s="1">
        <v>1132</v>
      </c>
      <c r="C158" s="1" t="s">
        <v>46</v>
      </c>
      <c r="D158" s="1">
        <v>104</v>
      </c>
      <c r="E158" s="1" t="s">
        <v>82</v>
      </c>
      <c r="F158" s="1">
        <v>12</v>
      </c>
      <c r="G158" s="1">
        <v>1</v>
      </c>
      <c r="H158" s="9">
        <v>613263176</v>
      </c>
      <c r="I158" s="9">
        <v>14379000065</v>
      </c>
      <c r="J158" s="1">
        <v>100</v>
      </c>
      <c r="K158" s="1">
        <v>158</v>
      </c>
      <c r="L158" s="22">
        <v>143790000650</v>
      </c>
    </row>
    <row r="159" spans="1:12" x14ac:dyDescent="0.3">
      <c r="A159" s="12">
        <v>158</v>
      </c>
      <c r="B159" s="1">
        <v>1133</v>
      </c>
      <c r="C159" s="1" t="s">
        <v>46</v>
      </c>
      <c r="D159" s="1">
        <v>104</v>
      </c>
      <c r="E159" s="1" t="s">
        <v>82</v>
      </c>
      <c r="F159" s="1">
        <v>12</v>
      </c>
      <c r="G159" s="1">
        <v>1</v>
      </c>
      <c r="H159" s="9">
        <v>629070332</v>
      </c>
      <c r="I159" s="9">
        <v>15145278847</v>
      </c>
      <c r="J159" s="1">
        <v>100</v>
      </c>
      <c r="K159" s="1">
        <v>159</v>
      </c>
      <c r="L159" s="22">
        <v>151452788470</v>
      </c>
    </row>
    <row r="160" spans="1:12" x14ac:dyDescent="0.3">
      <c r="A160" s="12">
        <v>159</v>
      </c>
      <c r="B160" s="1">
        <v>1134</v>
      </c>
      <c r="C160" s="1" t="s">
        <v>46</v>
      </c>
      <c r="D160" s="1">
        <v>104</v>
      </c>
      <c r="E160" s="1" t="s">
        <v>82</v>
      </c>
      <c r="F160" s="1">
        <v>12</v>
      </c>
      <c r="G160" s="1">
        <v>1</v>
      </c>
      <c r="H160" s="9">
        <v>645207019</v>
      </c>
      <c r="I160" s="9">
        <v>15951113186</v>
      </c>
      <c r="J160" s="1">
        <v>100</v>
      </c>
      <c r="K160" s="1">
        <v>160</v>
      </c>
      <c r="L160" s="22">
        <v>159511131860</v>
      </c>
    </row>
    <row r="161" spans="1:12" x14ac:dyDescent="0.3">
      <c r="A161" s="13">
        <v>160</v>
      </c>
      <c r="B161" s="14">
        <v>1135</v>
      </c>
      <c r="C161" s="14" t="s">
        <v>148</v>
      </c>
      <c r="D161" s="14">
        <v>104</v>
      </c>
      <c r="E161" s="14" t="s">
        <v>82</v>
      </c>
      <c r="F161" s="1">
        <v>1</v>
      </c>
      <c r="G161" s="1">
        <v>999</v>
      </c>
      <c r="H161" s="15">
        <f>H162*0.9</f>
        <v>610544374.20000005</v>
      </c>
      <c r="I161" s="15">
        <f>16798502400*10</f>
        <v>167985024000</v>
      </c>
      <c r="J161" s="14">
        <v>1</v>
      </c>
      <c r="K161" s="14">
        <v>161</v>
      </c>
      <c r="L161" s="22">
        <v>1679850240000</v>
      </c>
    </row>
    <row r="162" spans="1:12" x14ac:dyDescent="0.3">
      <c r="A162" s="12">
        <v>161</v>
      </c>
      <c r="B162" s="1">
        <v>1136</v>
      </c>
      <c r="C162" s="1" t="s">
        <v>176</v>
      </c>
      <c r="D162" s="1">
        <v>101</v>
      </c>
      <c r="E162" s="1" t="s">
        <v>82</v>
      </c>
      <c r="F162" s="1">
        <v>12</v>
      </c>
      <c r="G162" s="1">
        <v>1</v>
      </c>
      <c r="H162" s="9">
        <v>678382638</v>
      </c>
      <c r="I162" s="9">
        <v>17689505466</v>
      </c>
      <c r="J162" s="1">
        <v>100</v>
      </c>
      <c r="K162" s="1">
        <v>162</v>
      </c>
      <c r="L162" s="22">
        <v>176895054660</v>
      </c>
    </row>
    <row r="163" spans="1:12" x14ac:dyDescent="0.3">
      <c r="A163" s="12">
        <v>162</v>
      </c>
      <c r="B163" s="1">
        <v>1137</v>
      </c>
      <c r="C163" s="1" t="s">
        <v>46</v>
      </c>
      <c r="D163" s="1">
        <v>101</v>
      </c>
      <c r="E163" s="1" t="s">
        <v>82</v>
      </c>
      <c r="F163" s="1">
        <v>12</v>
      </c>
      <c r="G163" s="1">
        <v>1</v>
      </c>
      <c r="H163" s="9">
        <v>695455502</v>
      </c>
      <c r="I163" s="9">
        <v>18626348850</v>
      </c>
      <c r="J163" s="1">
        <v>100</v>
      </c>
      <c r="K163" s="1">
        <v>163</v>
      </c>
      <c r="L163" s="22">
        <v>186263488500</v>
      </c>
    </row>
    <row r="164" spans="1:12" x14ac:dyDescent="0.3">
      <c r="A164" s="12">
        <v>163</v>
      </c>
      <c r="B164" s="1">
        <v>1138</v>
      </c>
      <c r="C164" s="1" t="s">
        <v>46</v>
      </c>
      <c r="D164" s="1">
        <v>101</v>
      </c>
      <c r="E164" s="1" t="s">
        <v>82</v>
      </c>
      <c r="F164" s="1">
        <v>12</v>
      </c>
      <c r="G164" s="1">
        <v>1</v>
      </c>
      <c r="H164" s="9">
        <v>712821295</v>
      </c>
      <c r="I164" s="9">
        <v>19611298388</v>
      </c>
      <c r="J164" s="1">
        <v>100</v>
      </c>
      <c r="K164" s="1">
        <v>164</v>
      </c>
      <c r="L164" s="22">
        <v>196112983880</v>
      </c>
    </row>
    <row r="165" spans="1:12" x14ac:dyDescent="0.3">
      <c r="A165" s="12">
        <v>164</v>
      </c>
      <c r="B165" s="1">
        <v>1139</v>
      </c>
      <c r="C165" s="1" t="s">
        <v>46</v>
      </c>
      <c r="D165" s="1">
        <v>101</v>
      </c>
      <c r="E165" s="1" t="s">
        <v>82</v>
      </c>
      <c r="F165" s="1">
        <v>12</v>
      </c>
      <c r="G165" s="1">
        <v>1</v>
      </c>
      <c r="H165" s="9">
        <v>730537855</v>
      </c>
      <c r="I165" s="9">
        <v>20646795625</v>
      </c>
      <c r="J165" s="1">
        <v>100</v>
      </c>
      <c r="K165" s="1">
        <v>165</v>
      </c>
      <c r="L165" s="22">
        <v>206467956250</v>
      </c>
    </row>
    <row r="166" spans="1:12" x14ac:dyDescent="0.3">
      <c r="A166" s="12">
        <v>165</v>
      </c>
      <c r="B166" s="1">
        <v>1140</v>
      </c>
      <c r="C166" s="1" t="s">
        <v>46</v>
      </c>
      <c r="D166" s="1">
        <v>101</v>
      </c>
      <c r="E166" s="1" t="s">
        <v>82</v>
      </c>
      <c r="F166" s="1">
        <v>12</v>
      </c>
      <c r="G166" s="1">
        <v>1</v>
      </c>
      <c r="H166" s="9">
        <v>748582411</v>
      </c>
      <c r="I166" s="9">
        <v>21735354267</v>
      </c>
      <c r="J166" s="1">
        <v>100</v>
      </c>
      <c r="K166" s="1">
        <v>166</v>
      </c>
      <c r="L166" s="22">
        <v>217353542670</v>
      </c>
    </row>
    <row r="167" spans="1:12" x14ac:dyDescent="0.3">
      <c r="A167" s="12">
        <v>166</v>
      </c>
      <c r="B167" s="1">
        <v>1141</v>
      </c>
      <c r="C167" s="1" t="s">
        <v>46</v>
      </c>
      <c r="D167" s="1">
        <v>101</v>
      </c>
      <c r="E167" s="1" t="s">
        <v>82</v>
      </c>
      <c r="F167" s="1">
        <v>12</v>
      </c>
      <c r="G167" s="1">
        <v>1</v>
      </c>
      <c r="H167" s="9">
        <v>766930876</v>
      </c>
      <c r="I167" s="9">
        <v>22879617286</v>
      </c>
      <c r="J167" s="1">
        <v>100</v>
      </c>
      <c r="K167" s="1">
        <v>167</v>
      </c>
      <c r="L167" s="22">
        <v>228796172860</v>
      </c>
    </row>
    <row r="168" spans="1:12" x14ac:dyDescent="0.3">
      <c r="A168" s="12">
        <v>167</v>
      </c>
      <c r="B168" s="1">
        <v>1142</v>
      </c>
      <c r="C168" s="1" t="s">
        <v>46</v>
      </c>
      <c r="D168" s="1">
        <v>101</v>
      </c>
      <c r="E168" s="1" t="s">
        <v>82</v>
      </c>
      <c r="F168" s="1">
        <v>12</v>
      </c>
      <c r="G168" s="1">
        <v>1</v>
      </c>
      <c r="H168" s="9">
        <v>785643170</v>
      </c>
      <c r="I168" s="9">
        <v>24082361225</v>
      </c>
      <c r="J168" s="1">
        <v>100</v>
      </c>
      <c r="K168" s="1">
        <v>168</v>
      </c>
      <c r="L168" s="22">
        <v>240823612250</v>
      </c>
    </row>
    <row r="169" spans="1:12" x14ac:dyDescent="0.3">
      <c r="A169" s="12">
        <v>168</v>
      </c>
      <c r="B169" s="1">
        <v>1143</v>
      </c>
      <c r="C169" s="1" t="s">
        <v>46</v>
      </c>
      <c r="D169" s="1">
        <v>101</v>
      </c>
      <c r="E169" s="1" t="s">
        <v>82</v>
      </c>
      <c r="F169" s="1">
        <v>12</v>
      </c>
      <c r="G169" s="1">
        <v>1</v>
      </c>
      <c r="H169" s="9">
        <v>804695592</v>
      </c>
      <c r="I169" s="9">
        <v>25346529331</v>
      </c>
      <c r="J169" s="1">
        <v>100</v>
      </c>
      <c r="K169" s="1">
        <v>169</v>
      </c>
      <c r="L169" s="22">
        <v>253465293310</v>
      </c>
    </row>
    <row r="170" spans="1:12" x14ac:dyDescent="0.3">
      <c r="A170" s="12">
        <v>169</v>
      </c>
      <c r="B170" s="1">
        <v>1144</v>
      </c>
      <c r="C170" s="1" t="s">
        <v>46</v>
      </c>
      <c r="D170" s="1">
        <v>101</v>
      </c>
      <c r="E170" s="1" t="s">
        <v>82</v>
      </c>
      <c r="F170" s="1">
        <v>12</v>
      </c>
      <c r="G170" s="1">
        <v>1</v>
      </c>
      <c r="H170" s="9">
        <v>824063107</v>
      </c>
      <c r="I170" s="9">
        <v>26675150300</v>
      </c>
      <c r="J170" s="1">
        <v>100</v>
      </c>
      <c r="K170" s="1">
        <v>170</v>
      </c>
      <c r="L170" s="22">
        <v>266751503000</v>
      </c>
    </row>
    <row r="171" spans="1:12" x14ac:dyDescent="0.3">
      <c r="A171" s="12">
        <v>170</v>
      </c>
      <c r="B171" s="1">
        <v>1145</v>
      </c>
      <c r="C171" s="1" t="s">
        <v>46</v>
      </c>
      <c r="D171" s="1">
        <v>101</v>
      </c>
      <c r="E171" s="1" t="s">
        <v>82</v>
      </c>
      <c r="F171" s="1">
        <v>12</v>
      </c>
      <c r="G171" s="1">
        <v>1</v>
      </c>
      <c r="H171" s="9">
        <v>843807750</v>
      </c>
      <c r="I171" s="9">
        <v>28071457230</v>
      </c>
      <c r="J171" s="1">
        <v>100</v>
      </c>
      <c r="K171" s="1">
        <v>171</v>
      </c>
      <c r="L171" s="22">
        <v>280714572300</v>
      </c>
    </row>
    <row r="172" spans="1:12" x14ac:dyDescent="0.3">
      <c r="A172" s="12">
        <v>171</v>
      </c>
      <c r="B172" s="1">
        <v>1146</v>
      </c>
      <c r="C172" s="1" t="s">
        <v>46</v>
      </c>
      <c r="D172" s="1">
        <v>101</v>
      </c>
      <c r="E172" s="1" t="s">
        <v>82</v>
      </c>
      <c r="F172" s="1">
        <v>12</v>
      </c>
      <c r="G172" s="1">
        <v>1</v>
      </c>
      <c r="H172" s="9">
        <v>863904876</v>
      </c>
      <c r="I172" s="9">
        <v>29538806134</v>
      </c>
      <c r="J172" s="1">
        <v>100</v>
      </c>
      <c r="K172" s="1">
        <v>172</v>
      </c>
      <c r="L172" s="22">
        <v>295388061340</v>
      </c>
    </row>
    <row r="173" spans="1:12" x14ac:dyDescent="0.3">
      <c r="A173" s="12">
        <v>172</v>
      </c>
      <c r="B173" s="1">
        <v>1147</v>
      </c>
      <c r="C173" s="1" t="s">
        <v>46</v>
      </c>
      <c r="D173" s="1">
        <v>101</v>
      </c>
      <c r="E173" s="1" t="s">
        <v>82</v>
      </c>
      <c r="F173" s="1">
        <v>12</v>
      </c>
      <c r="G173" s="1">
        <v>1</v>
      </c>
      <c r="H173" s="9">
        <v>884328478</v>
      </c>
      <c r="I173" s="9">
        <v>31080739170</v>
      </c>
      <c r="J173" s="1">
        <v>100</v>
      </c>
      <c r="K173" s="1">
        <v>173</v>
      </c>
      <c r="L173" s="22">
        <v>310807391700</v>
      </c>
    </row>
    <row r="174" spans="1:12" x14ac:dyDescent="0.3">
      <c r="A174" s="12">
        <v>173</v>
      </c>
      <c r="B174" s="1">
        <v>1148</v>
      </c>
      <c r="C174" s="1" t="s">
        <v>46</v>
      </c>
      <c r="D174" s="1">
        <v>101</v>
      </c>
      <c r="E174" s="1" t="s">
        <v>82</v>
      </c>
      <c r="F174" s="1">
        <v>12</v>
      </c>
      <c r="G174" s="1">
        <v>1</v>
      </c>
      <c r="H174" s="9">
        <v>905142747</v>
      </c>
      <c r="I174" s="9">
        <v>32700930002</v>
      </c>
      <c r="J174" s="1">
        <v>100</v>
      </c>
      <c r="K174" s="1">
        <v>174</v>
      </c>
      <c r="L174" s="22">
        <v>327009300020</v>
      </c>
    </row>
    <row r="175" spans="1:12" x14ac:dyDescent="0.3">
      <c r="A175" s="12">
        <v>174</v>
      </c>
      <c r="B175" s="1">
        <v>1149</v>
      </c>
      <c r="C175" s="1" t="s">
        <v>46</v>
      </c>
      <c r="D175" s="1">
        <v>101</v>
      </c>
      <c r="E175" s="1" t="s">
        <v>82</v>
      </c>
      <c r="F175" s="1">
        <v>12</v>
      </c>
      <c r="G175" s="1">
        <v>1</v>
      </c>
      <c r="H175" s="9">
        <v>926322073</v>
      </c>
      <c r="I175" s="9">
        <v>34403279422</v>
      </c>
      <c r="J175" s="1">
        <v>100</v>
      </c>
      <c r="K175" s="1">
        <v>175</v>
      </c>
      <c r="L175" s="22">
        <v>344032794220</v>
      </c>
    </row>
    <row r="176" spans="1:12" x14ac:dyDescent="0.3">
      <c r="A176" s="12">
        <v>175</v>
      </c>
      <c r="B176" s="1">
        <v>1150</v>
      </c>
      <c r="C176" s="1" t="s">
        <v>46</v>
      </c>
      <c r="D176" s="1">
        <v>101</v>
      </c>
      <c r="E176" s="1" t="s">
        <v>82</v>
      </c>
      <c r="F176" s="1">
        <v>12</v>
      </c>
      <c r="G176" s="1">
        <v>1</v>
      </c>
      <c r="H176" s="9">
        <v>947870700</v>
      </c>
      <c r="I176" s="9">
        <v>36191861212</v>
      </c>
      <c r="J176" s="1">
        <v>100</v>
      </c>
      <c r="K176" s="1">
        <v>176</v>
      </c>
      <c r="L176" s="22">
        <v>361918612120</v>
      </c>
    </row>
    <row r="177" spans="1:12" x14ac:dyDescent="0.3">
      <c r="A177" s="12">
        <v>176</v>
      </c>
      <c r="B177" s="1">
        <v>1151</v>
      </c>
      <c r="C177" s="1" t="s">
        <v>46</v>
      </c>
      <c r="D177" s="1">
        <v>101</v>
      </c>
      <c r="E177" s="1" t="s">
        <v>82</v>
      </c>
      <c r="F177" s="1">
        <v>12</v>
      </c>
      <c r="G177" s="1">
        <v>1</v>
      </c>
      <c r="H177" s="9">
        <v>969761295</v>
      </c>
      <c r="I177" s="9">
        <v>38070958632</v>
      </c>
      <c r="J177" s="1">
        <v>100</v>
      </c>
      <c r="K177" s="1">
        <v>177</v>
      </c>
      <c r="L177" s="22">
        <v>380709586320</v>
      </c>
    </row>
    <row r="178" spans="1:12" x14ac:dyDescent="0.3">
      <c r="A178" s="12">
        <v>177</v>
      </c>
      <c r="B178" s="1">
        <v>1152</v>
      </c>
      <c r="C178" s="1" t="s">
        <v>46</v>
      </c>
      <c r="D178" s="1">
        <v>101</v>
      </c>
      <c r="E178" s="1" t="s">
        <v>82</v>
      </c>
      <c r="F178" s="1">
        <v>12</v>
      </c>
      <c r="G178" s="1">
        <v>1</v>
      </c>
      <c r="H178" s="9">
        <v>992060981</v>
      </c>
      <c r="I178" s="9">
        <v>40045007254</v>
      </c>
      <c r="J178" s="1">
        <v>100</v>
      </c>
      <c r="K178" s="1">
        <v>178</v>
      </c>
      <c r="L178" s="22">
        <v>400450072540</v>
      </c>
    </row>
    <row r="179" spans="1:12" x14ac:dyDescent="0.3">
      <c r="A179" s="12">
        <v>178</v>
      </c>
      <c r="B179" s="1">
        <v>1153</v>
      </c>
      <c r="C179" s="1" t="s">
        <v>46</v>
      </c>
      <c r="D179" s="1">
        <v>101</v>
      </c>
      <c r="E179" s="1" t="s">
        <v>82</v>
      </c>
      <c r="F179" s="1">
        <v>12</v>
      </c>
      <c r="G179" s="1">
        <v>1</v>
      </c>
      <c r="H179" s="9">
        <v>1014742834</v>
      </c>
      <c r="I179" s="9">
        <v>42118727448</v>
      </c>
      <c r="J179" s="1">
        <v>100</v>
      </c>
      <c r="K179" s="1">
        <v>179</v>
      </c>
      <c r="L179" s="22">
        <v>421187274480</v>
      </c>
    </row>
    <row r="180" spans="1:12" x14ac:dyDescent="0.3">
      <c r="A180" s="12">
        <v>179</v>
      </c>
      <c r="B180" s="1">
        <v>1154</v>
      </c>
      <c r="C180" s="1" t="s">
        <v>46</v>
      </c>
      <c r="D180" s="1">
        <v>101</v>
      </c>
      <c r="E180" s="1" t="s">
        <v>82</v>
      </c>
      <c r="F180" s="1">
        <v>12</v>
      </c>
      <c r="G180" s="1">
        <v>1</v>
      </c>
      <c r="H180" s="9">
        <v>1037811194</v>
      </c>
      <c r="I180" s="9">
        <v>44297036873</v>
      </c>
      <c r="J180" s="1">
        <v>100</v>
      </c>
      <c r="K180" s="1">
        <v>180</v>
      </c>
      <c r="L180" s="22">
        <v>442970368730</v>
      </c>
    </row>
    <row r="181" spans="1:12" x14ac:dyDescent="0.3">
      <c r="A181" s="13">
        <v>180</v>
      </c>
      <c r="B181" s="14">
        <v>1155</v>
      </c>
      <c r="C181" s="14" t="s">
        <v>145</v>
      </c>
      <c r="D181" s="14">
        <v>101</v>
      </c>
      <c r="E181" s="14" t="s">
        <v>82</v>
      </c>
      <c r="F181" s="1">
        <v>1</v>
      </c>
      <c r="G181" s="1">
        <v>999</v>
      </c>
      <c r="H181" s="15">
        <f>H182*0.9</f>
        <v>976582345.5</v>
      </c>
      <c r="I181" s="15">
        <f>46585121760*10</f>
        <v>465851217600</v>
      </c>
      <c r="J181" s="14">
        <v>1</v>
      </c>
      <c r="K181" s="14">
        <v>181</v>
      </c>
      <c r="L181" s="22">
        <v>4658512176000</v>
      </c>
    </row>
    <row r="182" spans="1:12" x14ac:dyDescent="0.3">
      <c r="A182" s="12">
        <v>181</v>
      </c>
      <c r="B182" s="1">
        <v>1156</v>
      </c>
      <c r="C182" s="1" t="s">
        <v>176</v>
      </c>
      <c r="D182" s="1">
        <v>102</v>
      </c>
      <c r="E182" s="1" t="s">
        <v>82</v>
      </c>
      <c r="F182" s="1">
        <v>12</v>
      </c>
      <c r="G182" s="1">
        <v>1</v>
      </c>
      <c r="H182" s="9">
        <v>1085091495</v>
      </c>
      <c r="I182" s="9">
        <v>48988345601</v>
      </c>
      <c r="J182" s="1">
        <v>100</v>
      </c>
      <c r="K182" s="1">
        <v>182</v>
      </c>
      <c r="L182" s="22">
        <v>489883456010</v>
      </c>
    </row>
    <row r="183" spans="1:12" x14ac:dyDescent="0.3">
      <c r="A183" s="12">
        <v>182</v>
      </c>
      <c r="B183" s="1">
        <v>1157</v>
      </c>
      <c r="C183" s="1" t="s">
        <v>46</v>
      </c>
      <c r="D183" s="1">
        <v>102</v>
      </c>
      <c r="E183" s="1" t="s">
        <v>82</v>
      </c>
      <c r="F183" s="1">
        <v>12</v>
      </c>
      <c r="G183" s="1">
        <v>1</v>
      </c>
      <c r="H183" s="9">
        <v>1109345284</v>
      </c>
      <c r="I183" s="9">
        <v>51512421586</v>
      </c>
      <c r="J183" s="1">
        <v>100</v>
      </c>
      <c r="K183" s="1">
        <v>183</v>
      </c>
      <c r="L183" s="22">
        <v>515124215860</v>
      </c>
    </row>
    <row r="184" spans="1:12" x14ac:dyDescent="0.3">
      <c r="A184" s="12">
        <v>183</v>
      </c>
      <c r="B184" s="1">
        <v>1158</v>
      </c>
      <c r="C184" s="1" t="s">
        <v>46</v>
      </c>
      <c r="D184" s="1">
        <v>102</v>
      </c>
      <c r="E184" s="1" t="s">
        <v>82</v>
      </c>
      <c r="F184" s="1">
        <v>12</v>
      </c>
      <c r="G184" s="1">
        <v>1</v>
      </c>
      <c r="H184" s="9">
        <v>1134003178</v>
      </c>
      <c r="I184" s="9">
        <v>54163254648</v>
      </c>
      <c r="J184" s="1">
        <v>100</v>
      </c>
      <c r="K184" s="1">
        <v>184</v>
      </c>
      <c r="L184" s="22">
        <v>541632546480</v>
      </c>
    </row>
    <row r="185" spans="1:12" x14ac:dyDescent="0.3">
      <c r="A185" s="12">
        <v>184</v>
      </c>
      <c r="B185" s="1">
        <v>1159</v>
      </c>
      <c r="C185" s="1" t="s">
        <v>46</v>
      </c>
      <c r="D185" s="1">
        <v>102</v>
      </c>
      <c r="E185" s="1" t="s">
        <v>82</v>
      </c>
      <c r="F185" s="1">
        <v>12</v>
      </c>
      <c r="G185" s="1">
        <v>1</v>
      </c>
      <c r="H185" s="9">
        <v>1159069639</v>
      </c>
      <c r="I185" s="9">
        <v>56947117800</v>
      </c>
      <c r="J185" s="1">
        <v>100</v>
      </c>
      <c r="K185" s="1">
        <v>185</v>
      </c>
      <c r="L185" s="22">
        <v>569471178000</v>
      </c>
    </row>
    <row r="186" spans="1:12" x14ac:dyDescent="0.3">
      <c r="A186" s="12">
        <v>185</v>
      </c>
      <c r="B186" s="1">
        <v>1160</v>
      </c>
      <c r="C186" s="1" t="s">
        <v>46</v>
      </c>
      <c r="D186" s="1">
        <v>102</v>
      </c>
      <c r="E186" s="1" t="s">
        <v>82</v>
      </c>
      <c r="F186" s="1">
        <v>12</v>
      </c>
      <c r="G186" s="1">
        <v>1</v>
      </c>
      <c r="H186" s="9">
        <v>1184514244</v>
      </c>
      <c r="I186" s="9">
        <v>59870525599</v>
      </c>
      <c r="J186" s="1">
        <v>100</v>
      </c>
      <c r="K186" s="1">
        <v>186</v>
      </c>
      <c r="L186" s="22">
        <v>598705255990</v>
      </c>
    </row>
    <row r="187" spans="1:12" x14ac:dyDescent="0.3">
      <c r="A187" s="12">
        <v>186</v>
      </c>
      <c r="B187" s="1">
        <v>1161</v>
      </c>
      <c r="C187" s="1" t="s">
        <v>46</v>
      </c>
      <c r="D187" s="1">
        <v>102</v>
      </c>
      <c r="E187" s="1" t="s">
        <v>82</v>
      </c>
      <c r="F187" s="1">
        <v>12</v>
      </c>
      <c r="G187" s="1">
        <v>1</v>
      </c>
      <c r="H187" s="9">
        <v>1210410943</v>
      </c>
      <c r="I187" s="9">
        <v>62940310446</v>
      </c>
      <c r="J187" s="1">
        <v>100</v>
      </c>
      <c r="K187" s="1">
        <v>187</v>
      </c>
      <c r="L187" s="22">
        <v>629403104460</v>
      </c>
    </row>
    <row r="188" spans="1:12" x14ac:dyDescent="0.3">
      <c r="A188" s="12">
        <v>187</v>
      </c>
      <c r="B188" s="1">
        <v>1162</v>
      </c>
      <c r="C188" s="1" t="s">
        <v>46</v>
      </c>
      <c r="D188" s="1">
        <v>102</v>
      </c>
      <c r="E188" s="1" t="s">
        <v>82</v>
      </c>
      <c r="F188" s="1">
        <v>12</v>
      </c>
      <c r="G188" s="1">
        <v>1</v>
      </c>
      <c r="H188" s="9">
        <v>1236729739</v>
      </c>
      <c r="I188" s="9">
        <v>66163667843</v>
      </c>
      <c r="J188" s="1">
        <v>100</v>
      </c>
      <c r="K188" s="1">
        <v>188</v>
      </c>
      <c r="L188" s="22">
        <v>661636678430</v>
      </c>
    </row>
    <row r="189" spans="1:12" x14ac:dyDescent="0.3">
      <c r="A189" s="12">
        <v>188</v>
      </c>
      <c r="B189" s="1">
        <v>1163</v>
      </c>
      <c r="C189" s="1" t="s">
        <v>46</v>
      </c>
      <c r="D189" s="1">
        <v>102</v>
      </c>
      <c r="E189" s="1" t="s">
        <v>82</v>
      </c>
      <c r="F189" s="1">
        <v>12</v>
      </c>
      <c r="G189" s="1">
        <v>1</v>
      </c>
      <c r="H189" s="9">
        <v>1263475191</v>
      </c>
      <c r="I189" s="9">
        <v>69548131966</v>
      </c>
      <c r="J189" s="1">
        <v>100</v>
      </c>
      <c r="K189" s="1">
        <v>189</v>
      </c>
      <c r="L189" s="22">
        <v>695481319660</v>
      </c>
    </row>
    <row r="190" spans="1:12" x14ac:dyDescent="0.3">
      <c r="A190" s="12">
        <v>189</v>
      </c>
      <c r="B190" s="1">
        <v>1164</v>
      </c>
      <c r="C190" s="1" t="s">
        <v>46</v>
      </c>
      <c r="D190" s="1">
        <v>102</v>
      </c>
      <c r="E190" s="1" t="s">
        <v>82</v>
      </c>
      <c r="F190" s="1">
        <v>12</v>
      </c>
      <c r="G190" s="1">
        <v>1</v>
      </c>
      <c r="H190" s="9">
        <v>1290651882</v>
      </c>
      <c r="I190" s="9">
        <v>73101585514</v>
      </c>
      <c r="J190" s="1">
        <v>100</v>
      </c>
      <c r="K190" s="1">
        <v>190</v>
      </c>
      <c r="L190" s="22">
        <v>731015855140</v>
      </c>
    </row>
    <row r="191" spans="1:12" x14ac:dyDescent="0.3">
      <c r="A191" s="12">
        <v>190</v>
      </c>
      <c r="B191" s="1">
        <v>1165</v>
      </c>
      <c r="C191" s="1" t="s">
        <v>46</v>
      </c>
      <c r="D191" s="1">
        <v>102</v>
      </c>
      <c r="E191" s="1" t="s">
        <v>82</v>
      </c>
      <c r="F191" s="1">
        <v>12</v>
      </c>
      <c r="G191" s="1">
        <v>1</v>
      </c>
      <c r="H191" s="9">
        <v>1318264422</v>
      </c>
      <c r="I191" s="9">
        <v>76832306514</v>
      </c>
      <c r="J191" s="1">
        <v>100</v>
      </c>
      <c r="K191" s="1">
        <v>191</v>
      </c>
      <c r="L191" s="22">
        <v>768323065140</v>
      </c>
    </row>
    <row r="192" spans="1:12" x14ac:dyDescent="0.3">
      <c r="A192" s="12">
        <v>191</v>
      </c>
      <c r="B192" s="1">
        <v>1166</v>
      </c>
      <c r="C192" s="1" t="s">
        <v>46</v>
      </c>
      <c r="D192" s="1">
        <v>102</v>
      </c>
      <c r="E192" s="1" t="s">
        <v>82</v>
      </c>
      <c r="F192" s="1">
        <v>12</v>
      </c>
      <c r="G192" s="1">
        <v>1</v>
      </c>
      <c r="H192" s="9">
        <v>1346280231</v>
      </c>
      <c r="I192" s="9">
        <v>80748943141</v>
      </c>
      <c r="J192" s="1">
        <v>100</v>
      </c>
      <c r="K192" s="1">
        <v>192</v>
      </c>
      <c r="L192" s="22">
        <v>807489431410</v>
      </c>
    </row>
    <row r="193" spans="1:12" x14ac:dyDescent="0.3">
      <c r="A193" s="12">
        <v>192</v>
      </c>
      <c r="B193" s="1">
        <v>1167</v>
      </c>
      <c r="C193" s="1" t="s">
        <v>46</v>
      </c>
      <c r="D193" s="1">
        <v>102</v>
      </c>
      <c r="E193" s="1" t="s">
        <v>82</v>
      </c>
      <c r="F193" s="1">
        <v>12</v>
      </c>
      <c r="G193" s="1">
        <v>1</v>
      </c>
      <c r="H193" s="9">
        <v>1374777999</v>
      </c>
      <c r="I193" s="9">
        <v>84860599173</v>
      </c>
      <c r="J193" s="1">
        <v>100</v>
      </c>
      <c r="K193" s="1">
        <v>193</v>
      </c>
      <c r="L193" s="22">
        <v>848605991730</v>
      </c>
    </row>
    <row r="194" spans="1:12" x14ac:dyDescent="0.3">
      <c r="A194" s="12">
        <v>193</v>
      </c>
      <c r="B194" s="1">
        <v>1168</v>
      </c>
      <c r="C194" s="1" t="s">
        <v>46</v>
      </c>
      <c r="D194" s="1">
        <v>102</v>
      </c>
      <c r="E194" s="1" t="s">
        <v>82</v>
      </c>
      <c r="F194" s="1">
        <v>12</v>
      </c>
      <c r="G194" s="1">
        <v>1</v>
      </c>
      <c r="H194" s="9">
        <v>1403725585</v>
      </c>
      <c r="I194" s="9">
        <v>89176772283</v>
      </c>
      <c r="J194" s="1">
        <v>100</v>
      </c>
      <c r="K194" s="1">
        <v>194</v>
      </c>
      <c r="L194" s="22">
        <v>891767722830</v>
      </c>
    </row>
    <row r="195" spans="1:12" x14ac:dyDescent="0.3">
      <c r="A195" s="12">
        <v>194</v>
      </c>
      <c r="B195" s="1">
        <v>1169</v>
      </c>
      <c r="C195" s="1" t="s">
        <v>46</v>
      </c>
      <c r="D195" s="1">
        <v>102</v>
      </c>
      <c r="E195" s="1" t="s">
        <v>82</v>
      </c>
      <c r="F195" s="1">
        <v>12</v>
      </c>
      <c r="G195" s="1">
        <v>1</v>
      </c>
      <c r="H195" s="9">
        <v>1433127695</v>
      </c>
      <c r="I195" s="9">
        <v>93707441350</v>
      </c>
      <c r="J195" s="1">
        <v>100</v>
      </c>
      <c r="K195" s="1">
        <v>195</v>
      </c>
      <c r="L195" s="22">
        <v>937074413500</v>
      </c>
    </row>
    <row r="196" spans="1:12" x14ac:dyDescent="0.3">
      <c r="A196" s="12">
        <v>195</v>
      </c>
      <c r="B196" s="1">
        <v>1170</v>
      </c>
      <c r="C196" s="1" t="s">
        <v>46</v>
      </c>
      <c r="D196" s="1">
        <v>102</v>
      </c>
      <c r="E196" s="1" t="s">
        <v>82</v>
      </c>
      <c r="F196" s="1">
        <v>12</v>
      </c>
      <c r="G196" s="1">
        <v>1</v>
      </c>
      <c r="H196" s="9">
        <v>1462989060</v>
      </c>
      <c r="I196" s="9">
        <v>98463042288</v>
      </c>
      <c r="J196" s="1">
        <v>100</v>
      </c>
      <c r="K196" s="1">
        <v>196</v>
      </c>
      <c r="L196" s="22">
        <v>984630422880</v>
      </c>
    </row>
    <row r="197" spans="1:12" x14ac:dyDescent="0.3">
      <c r="A197" s="12">
        <v>196</v>
      </c>
      <c r="B197" s="1">
        <v>1171</v>
      </c>
      <c r="C197" s="1" t="s">
        <v>46</v>
      </c>
      <c r="D197" s="1">
        <v>102</v>
      </c>
      <c r="E197" s="1" t="s">
        <v>82</v>
      </c>
      <c r="F197" s="1">
        <v>12</v>
      </c>
      <c r="G197" s="1">
        <v>1</v>
      </c>
      <c r="H197" s="9">
        <v>1493314435</v>
      </c>
      <c r="I197" s="9">
        <v>103454559216</v>
      </c>
      <c r="J197" s="1">
        <v>100</v>
      </c>
      <c r="K197" s="1">
        <v>197</v>
      </c>
      <c r="L197" s="22">
        <v>1034545592160</v>
      </c>
    </row>
    <row r="198" spans="1:12" x14ac:dyDescent="0.3">
      <c r="A198" s="12">
        <v>197</v>
      </c>
      <c r="B198" s="1">
        <v>1172</v>
      </c>
      <c r="C198" s="1" t="s">
        <v>46</v>
      </c>
      <c r="D198" s="1">
        <v>102</v>
      </c>
      <c r="E198" s="1" t="s">
        <v>82</v>
      </c>
      <c r="F198" s="1">
        <v>12</v>
      </c>
      <c r="G198" s="1">
        <v>1</v>
      </c>
      <c r="H198" s="9">
        <v>1524108600</v>
      </c>
      <c r="I198" s="9">
        <v>108693462266</v>
      </c>
      <c r="J198" s="1">
        <v>100</v>
      </c>
      <c r="K198" s="1">
        <v>198</v>
      </c>
      <c r="L198" s="22">
        <v>1086934622660</v>
      </c>
    </row>
    <row r="199" spans="1:12" x14ac:dyDescent="0.3">
      <c r="A199" s="12">
        <v>198</v>
      </c>
      <c r="B199" s="1">
        <v>1173</v>
      </c>
      <c r="C199" s="1" t="s">
        <v>46</v>
      </c>
      <c r="D199" s="1">
        <v>102</v>
      </c>
      <c r="E199" s="1" t="s">
        <v>82</v>
      </c>
      <c r="F199" s="1">
        <v>12</v>
      </c>
      <c r="G199" s="1">
        <v>1</v>
      </c>
      <c r="H199" s="9">
        <v>1555376359</v>
      </c>
      <c r="I199" s="9">
        <v>114191760711</v>
      </c>
      <c r="J199" s="1">
        <v>100</v>
      </c>
      <c r="K199" s="1">
        <v>199</v>
      </c>
      <c r="L199" s="22">
        <v>1141917607110</v>
      </c>
    </row>
    <row r="200" spans="1:12" x14ac:dyDescent="0.3">
      <c r="A200" s="12">
        <v>199</v>
      </c>
      <c r="B200" s="1">
        <v>1174</v>
      </c>
      <c r="C200" s="1" t="s">
        <v>46</v>
      </c>
      <c r="D200" s="1">
        <v>102</v>
      </c>
      <c r="E200" s="1" t="s">
        <v>82</v>
      </c>
      <c r="F200" s="1">
        <v>12</v>
      </c>
      <c r="G200" s="1">
        <v>1</v>
      </c>
      <c r="H200" s="9">
        <v>1587122541</v>
      </c>
      <c r="I200" s="9">
        <v>119962058700</v>
      </c>
      <c r="J200" s="1">
        <v>100</v>
      </c>
      <c r="K200" s="1">
        <v>200</v>
      </c>
      <c r="L200" s="22">
        <v>1199620587000</v>
      </c>
    </row>
    <row r="201" spans="1:12" x14ac:dyDescent="0.3">
      <c r="A201" s="13">
        <v>200</v>
      </c>
      <c r="B201" s="14">
        <v>1175</v>
      </c>
      <c r="C201" s="14" t="s">
        <v>146</v>
      </c>
      <c r="D201" s="14">
        <v>102</v>
      </c>
      <c r="E201" s="14" t="s">
        <v>82</v>
      </c>
      <c r="F201" s="1">
        <v>1</v>
      </c>
      <c r="G201" s="1">
        <v>999</v>
      </c>
      <c r="H201" s="15">
        <f>H202*0.9</f>
        <v>1486862649.9000001</v>
      </c>
      <c r="I201" s="15">
        <f>126017572800*10</f>
        <v>1260175728000</v>
      </c>
      <c r="J201" s="14">
        <v>1</v>
      </c>
      <c r="K201" s="14">
        <v>201</v>
      </c>
      <c r="L201" s="22">
        <v>12601757280000</v>
      </c>
    </row>
    <row r="202" spans="1:12" x14ac:dyDescent="0.3">
      <c r="A202" s="12">
        <v>201</v>
      </c>
      <c r="B202" s="1">
        <v>1176</v>
      </c>
      <c r="C202" s="1" t="s">
        <v>176</v>
      </c>
      <c r="D202" s="1">
        <v>103</v>
      </c>
      <c r="E202" s="1" t="s">
        <v>82</v>
      </c>
      <c r="F202" s="1">
        <v>12</v>
      </c>
      <c r="G202" s="1">
        <v>1</v>
      </c>
      <c r="H202" s="9">
        <v>1652069611</v>
      </c>
      <c r="I202" s="9">
        <v>132372149761</v>
      </c>
      <c r="J202" s="1">
        <v>100</v>
      </c>
      <c r="K202" s="1">
        <v>202</v>
      </c>
      <c r="L202" s="22">
        <v>1323721497610</v>
      </c>
    </row>
    <row r="203" spans="1:12" x14ac:dyDescent="0.3">
      <c r="A203" s="12">
        <v>202</v>
      </c>
      <c r="B203" s="1">
        <v>1177</v>
      </c>
      <c r="C203" s="1" t="s">
        <v>46</v>
      </c>
      <c r="D203" s="1">
        <v>103</v>
      </c>
      <c r="E203" s="1" t="s">
        <v>82</v>
      </c>
      <c r="F203" s="1">
        <v>12</v>
      </c>
      <c r="G203" s="1">
        <v>1</v>
      </c>
      <c r="H203" s="9">
        <v>1685280279</v>
      </c>
      <c r="I203" s="9">
        <v>139040284496</v>
      </c>
      <c r="J203" s="1">
        <v>100</v>
      </c>
      <c r="K203" s="1">
        <v>203</v>
      </c>
      <c r="L203" s="22">
        <v>1390402844960</v>
      </c>
    </row>
    <row r="204" spans="1:12" x14ac:dyDescent="0.3">
      <c r="A204" s="12">
        <v>203</v>
      </c>
      <c r="B204" s="1">
        <v>1178</v>
      </c>
      <c r="C204" s="1" t="s">
        <v>46</v>
      </c>
      <c r="D204" s="1">
        <v>103</v>
      </c>
      <c r="E204" s="1" t="s">
        <v>82</v>
      </c>
      <c r="F204" s="1">
        <v>12</v>
      </c>
      <c r="G204" s="1">
        <v>1</v>
      </c>
      <c r="H204" s="9">
        <v>1702007524</v>
      </c>
      <c r="I204" s="9">
        <v>140420328492</v>
      </c>
      <c r="J204" s="1">
        <v>100</v>
      </c>
      <c r="K204" s="1">
        <v>204</v>
      </c>
      <c r="L204" s="22">
        <v>1404203284920</v>
      </c>
    </row>
    <row r="205" spans="1:12" x14ac:dyDescent="0.3">
      <c r="A205" s="12">
        <v>204</v>
      </c>
      <c r="B205" s="1">
        <v>1179</v>
      </c>
      <c r="C205" s="1" t="s">
        <v>46</v>
      </c>
      <c r="D205" s="1">
        <v>103</v>
      </c>
      <c r="E205" s="1" t="s">
        <v>82</v>
      </c>
      <c r="F205" s="1">
        <v>12</v>
      </c>
      <c r="G205" s="1">
        <v>1</v>
      </c>
      <c r="H205" s="9">
        <v>1735966494</v>
      </c>
      <c r="I205" s="9">
        <v>147479514073</v>
      </c>
      <c r="J205" s="1">
        <v>100</v>
      </c>
      <c r="K205" s="1">
        <v>205</v>
      </c>
      <c r="L205" s="22">
        <v>1474795140730</v>
      </c>
    </row>
    <row r="206" spans="1:12" x14ac:dyDescent="0.3">
      <c r="A206" s="12">
        <v>205</v>
      </c>
      <c r="B206" s="1">
        <v>1180</v>
      </c>
      <c r="C206" s="1" t="s">
        <v>46</v>
      </c>
      <c r="D206" s="1">
        <v>103</v>
      </c>
      <c r="E206" s="1" t="s">
        <v>82</v>
      </c>
      <c r="F206" s="1">
        <v>12</v>
      </c>
      <c r="G206" s="1">
        <v>1</v>
      </c>
      <c r="H206" s="9">
        <v>1770430881</v>
      </c>
      <c r="I206" s="9">
        <v>154886125477</v>
      </c>
      <c r="J206" s="1">
        <v>100</v>
      </c>
      <c r="K206" s="1">
        <v>206</v>
      </c>
      <c r="L206" s="22">
        <v>1548861254770</v>
      </c>
    </row>
    <row r="207" spans="1:12" x14ac:dyDescent="0.3">
      <c r="A207" s="12">
        <v>206</v>
      </c>
      <c r="B207" s="1">
        <v>1181</v>
      </c>
      <c r="C207" s="1" t="s">
        <v>46</v>
      </c>
      <c r="D207" s="1">
        <v>103</v>
      </c>
      <c r="E207" s="1" t="s">
        <v>82</v>
      </c>
      <c r="F207" s="1">
        <v>12</v>
      </c>
      <c r="G207" s="1">
        <v>1</v>
      </c>
      <c r="H207" s="9">
        <v>1805405671</v>
      </c>
      <c r="I207" s="9">
        <v>162656965635</v>
      </c>
      <c r="J207" s="1">
        <v>100</v>
      </c>
      <c r="K207" s="1">
        <v>207</v>
      </c>
      <c r="L207" s="22">
        <v>1626569656350</v>
      </c>
    </row>
    <row r="208" spans="1:12" x14ac:dyDescent="0.3">
      <c r="A208" s="12">
        <v>207</v>
      </c>
      <c r="B208" s="1">
        <v>1182</v>
      </c>
      <c r="C208" s="1" t="s">
        <v>46</v>
      </c>
      <c r="D208" s="1">
        <v>103</v>
      </c>
      <c r="E208" s="1" t="s">
        <v>82</v>
      </c>
      <c r="F208" s="1">
        <v>12</v>
      </c>
      <c r="G208" s="1">
        <v>1</v>
      </c>
      <c r="H208" s="9">
        <v>1840895877</v>
      </c>
      <c r="I208" s="9">
        <v>170809613148</v>
      </c>
      <c r="J208" s="1">
        <v>100</v>
      </c>
      <c r="K208" s="1">
        <v>208</v>
      </c>
      <c r="L208" s="22">
        <v>1708096131480</v>
      </c>
    </row>
    <row r="209" spans="1:12" x14ac:dyDescent="0.3">
      <c r="A209" s="12">
        <v>208</v>
      </c>
      <c r="B209" s="1">
        <v>1183</v>
      </c>
      <c r="C209" s="1" t="s">
        <v>46</v>
      </c>
      <c r="D209" s="1">
        <v>103</v>
      </c>
      <c r="E209" s="1" t="s">
        <v>82</v>
      </c>
      <c r="F209" s="1">
        <v>12</v>
      </c>
      <c r="G209" s="1">
        <v>1</v>
      </c>
      <c r="H209" s="9">
        <v>1876906536</v>
      </c>
      <c r="I209" s="9">
        <v>179362531845</v>
      </c>
      <c r="J209" s="1">
        <v>100</v>
      </c>
      <c r="K209" s="1">
        <v>209</v>
      </c>
      <c r="L209" s="22">
        <v>1793625318450</v>
      </c>
    </row>
    <row r="210" spans="1:12" x14ac:dyDescent="0.3">
      <c r="A210" s="12">
        <v>209</v>
      </c>
      <c r="B210" s="1">
        <v>1184</v>
      </c>
      <c r="C210" s="1" t="s">
        <v>46</v>
      </c>
      <c r="D210" s="1">
        <v>103</v>
      </c>
      <c r="E210" s="1" t="s">
        <v>82</v>
      </c>
      <c r="F210" s="1">
        <v>12</v>
      </c>
      <c r="G210" s="1">
        <v>1</v>
      </c>
      <c r="H210" s="9">
        <v>1913442710</v>
      </c>
      <c r="I210" s="9">
        <v>188335007462</v>
      </c>
      <c r="J210" s="1">
        <v>100</v>
      </c>
      <c r="K210" s="1">
        <v>210</v>
      </c>
      <c r="L210" s="22">
        <v>1883350074620</v>
      </c>
    </row>
    <row r="211" spans="1:12" x14ac:dyDescent="0.3">
      <c r="A211" s="12">
        <v>210</v>
      </c>
      <c r="B211" s="1">
        <v>1185</v>
      </c>
      <c r="C211" s="1" t="s">
        <v>46</v>
      </c>
      <c r="D211" s="1">
        <v>103</v>
      </c>
      <c r="E211" s="1" t="s">
        <v>82</v>
      </c>
      <c r="F211" s="1">
        <v>12</v>
      </c>
      <c r="G211" s="1">
        <v>1</v>
      </c>
      <c r="H211" s="9">
        <v>1950509484</v>
      </c>
      <c r="I211" s="9">
        <v>197747259444</v>
      </c>
      <c r="J211" s="1">
        <v>100</v>
      </c>
      <c r="K211" s="1">
        <v>211</v>
      </c>
      <c r="L211" s="22">
        <v>1977472594440</v>
      </c>
    </row>
    <row r="212" spans="1:12" x14ac:dyDescent="0.3">
      <c r="A212" s="12">
        <v>211</v>
      </c>
      <c r="B212" s="1">
        <v>1186</v>
      </c>
      <c r="C212" s="1" t="s">
        <v>46</v>
      </c>
      <c r="D212" s="1">
        <v>103</v>
      </c>
      <c r="E212" s="1" t="s">
        <v>82</v>
      </c>
      <c r="F212" s="1">
        <v>12</v>
      </c>
      <c r="G212" s="1">
        <v>1</v>
      </c>
      <c r="H212" s="9">
        <v>1988111967</v>
      </c>
      <c r="I212" s="9">
        <v>207620467302</v>
      </c>
      <c r="J212" s="1">
        <v>100</v>
      </c>
      <c r="K212" s="1">
        <v>212</v>
      </c>
      <c r="L212" s="22">
        <v>2076204673020</v>
      </c>
    </row>
    <row r="213" spans="1:12" x14ac:dyDescent="0.3">
      <c r="A213" s="12">
        <v>212</v>
      </c>
      <c r="B213" s="1">
        <v>1187</v>
      </c>
      <c r="C213" s="1" t="s">
        <v>46</v>
      </c>
      <c r="D213" s="1">
        <v>103</v>
      </c>
      <c r="E213" s="1" t="s">
        <v>82</v>
      </c>
      <c r="F213" s="1">
        <v>12</v>
      </c>
      <c r="G213" s="1">
        <v>1</v>
      </c>
      <c r="H213" s="9">
        <v>2026255296</v>
      </c>
      <c r="I213" s="9">
        <v>217976843139</v>
      </c>
      <c r="J213" s="1">
        <v>100</v>
      </c>
      <c r="K213" s="1">
        <v>213</v>
      </c>
      <c r="L213" s="22">
        <v>2179768431390</v>
      </c>
    </row>
    <row r="214" spans="1:12" x14ac:dyDescent="0.3">
      <c r="A214" s="12">
        <v>213</v>
      </c>
      <c r="B214" s="1">
        <v>1188</v>
      </c>
      <c r="C214" s="1" t="s">
        <v>46</v>
      </c>
      <c r="D214" s="1">
        <v>103</v>
      </c>
      <c r="E214" s="1" t="s">
        <v>82</v>
      </c>
      <c r="F214" s="1">
        <v>12</v>
      </c>
      <c r="G214" s="1">
        <v>1</v>
      </c>
      <c r="H214" s="9">
        <v>2064944628</v>
      </c>
      <c r="I214" s="9">
        <v>228839614511</v>
      </c>
      <c r="J214" s="1">
        <v>100</v>
      </c>
      <c r="K214" s="1">
        <v>214</v>
      </c>
      <c r="L214" s="22">
        <v>2288396145110</v>
      </c>
    </row>
    <row r="215" spans="1:12" x14ac:dyDescent="0.3">
      <c r="A215" s="12">
        <v>214</v>
      </c>
      <c r="B215" s="1">
        <v>1189</v>
      </c>
      <c r="C215" s="1" t="s">
        <v>46</v>
      </c>
      <c r="D215" s="1">
        <v>103</v>
      </c>
      <c r="E215" s="1" t="s">
        <v>82</v>
      </c>
      <c r="F215" s="1">
        <v>12</v>
      </c>
      <c r="G215" s="1">
        <v>1</v>
      </c>
      <c r="H215" s="9">
        <v>2104185148</v>
      </c>
      <c r="I215" s="9">
        <v>240233145162</v>
      </c>
      <c r="J215" s="1">
        <v>100</v>
      </c>
      <c r="K215" s="1">
        <v>215</v>
      </c>
      <c r="L215" s="22">
        <v>2402331451620</v>
      </c>
    </row>
    <row r="216" spans="1:12" x14ac:dyDescent="0.3">
      <c r="A216" s="12">
        <v>215</v>
      </c>
      <c r="B216" s="1">
        <v>1190</v>
      </c>
      <c r="C216" s="1" t="s">
        <v>46</v>
      </c>
      <c r="D216" s="1">
        <v>103</v>
      </c>
      <c r="E216" s="1" t="s">
        <v>82</v>
      </c>
      <c r="F216" s="1">
        <v>12</v>
      </c>
      <c r="G216" s="1">
        <v>1</v>
      </c>
      <c r="H216" s="9">
        <v>2143982064</v>
      </c>
      <c r="I216" s="9">
        <v>252182919859</v>
      </c>
      <c r="J216" s="1">
        <v>100</v>
      </c>
      <c r="K216" s="1">
        <v>216</v>
      </c>
      <c r="L216" s="22">
        <v>2521829198590</v>
      </c>
    </row>
    <row r="217" spans="1:12" x14ac:dyDescent="0.3">
      <c r="A217" s="12">
        <v>216</v>
      </c>
      <c r="B217" s="1">
        <v>1191</v>
      </c>
      <c r="C217" s="1" t="s">
        <v>46</v>
      </c>
      <c r="D217" s="1">
        <v>103</v>
      </c>
      <c r="E217" s="1" t="s">
        <v>82</v>
      </c>
      <c r="F217" s="1">
        <v>12</v>
      </c>
      <c r="G217" s="1">
        <v>1</v>
      </c>
      <c r="H217" s="9">
        <v>2184340608</v>
      </c>
      <c r="I217" s="9">
        <v>264715669728</v>
      </c>
      <c r="J217" s="1">
        <v>100</v>
      </c>
      <c r="K217" s="1">
        <v>217</v>
      </c>
      <c r="L217" s="22">
        <v>2647156697280</v>
      </c>
    </row>
    <row r="218" spans="1:12" x14ac:dyDescent="0.3">
      <c r="A218" s="12">
        <v>217</v>
      </c>
      <c r="B218" s="1">
        <v>1192</v>
      </c>
      <c r="C218" s="1" t="s">
        <v>46</v>
      </c>
      <c r="D218" s="1">
        <v>103</v>
      </c>
      <c r="E218" s="1" t="s">
        <v>82</v>
      </c>
      <c r="F218" s="1">
        <v>12</v>
      </c>
      <c r="G218" s="1">
        <v>1</v>
      </c>
      <c r="H218" s="9">
        <v>2225314068</v>
      </c>
      <c r="I218" s="9">
        <v>277859311100</v>
      </c>
      <c r="J218" s="1">
        <v>100</v>
      </c>
      <c r="K218" s="1">
        <v>218</v>
      </c>
      <c r="L218" s="22">
        <v>2778593111000</v>
      </c>
    </row>
    <row r="219" spans="1:12" x14ac:dyDescent="0.3">
      <c r="A219" s="12">
        <v>218</v>
      </c>
      <c r="B219" s="1">
        <v>1193</v>
      </c>
      <c r="C219" s="1" t="s">
        <v>46</v>
      </c>
      <c r="D219" s="1">
        <v>103</v>
      </c>
      <c r="E219" s="1" t="s">
        <v>82</v>
      </c>
      <c r="F219" s="1">
        <v>12</v>
      </c>
      <c r="G219" s="1">
        <v>1</v>
      </c>
      <c r="H219" s="9">
        <v>2266812108</v>
      </c>
      <c r="I219" s="9">
        <v>291643218757</v>
      </c>
      <c r="J219" s="1">
        <v>100</v>
      </c>
      <c r="K219" s="1">
        <v>219</v>
      </c>
      <c r="L219" s="22">
        <v>2916432187570</v>
      </c>
    </row>
    <row r="220" spans="1:12" x14ac:dyDescent="0.3">
      <c r="A220" s="12">
        <v>219</v>
      </c>
      <c r="B220" s="1">
        <v>1194</v>
      </c>
      <c r="C220" s="1" t="s">
        <v>46</v>
      </c>
      <c r="D220" s="1">
        <v>103</v>
      </c>
      <c r="E220" s="1" t="s">
        <v>82</v>
      </c>
      <c r="F220" s="1">
        <v>12</v>
      </c>
      <c r="G220" s="1">
        <v>1</v>
      </c>
      <c r="H220" s="9">
        <v>2308887623</v>
      </c>
      <c r="I220" s="9">
        <v>306098023678</v>
      </c>
      <c r="J220" s="1">
        <v>100</v>
      </c>
      <c r="K220" s="1">
        <v>220</v>
      </c>
      <c r="L220" s="22">
        <v>3060980236780</v>
      </c>
    </row>
    <row r="221" spans="1:12" x14ac:dyDescent="0.3">
      <c r="A221" s="13">
        <v>220</v>
      </c>
      <c r="B221" s="14">
        <v>1195</v>
      </c>
      <c r="C221" s="14" t="s">
        <v>145</v>
      </c>
      <c r="D221" s="14">
        <v>103</v>
      </c>
      <c r="E221" s="14" t="s">
        <v>82</v>
      </c>
      <c r="F221" s="1">
        <v>1</v>
      </c>
      <c r="G221" s="1">
        <v>999</v>
      </c>
      <c r="H221" s="15">
        <f>H222*0.9</f>
        <v>2155313182.5</v>
      </c>
      <c r="I221" s="15">
        <f>321255842160*10</f>
        <v>3212558421600</v>
      </c>
      <c r="J221" s="14">
        <v>1</v>
      </c>
      <c r="K221" s="14">
        <v>221</v>
      </c>
      <c r="L221" s="22">
        <v>32125584216000</v>
      </c>
    </row>
    <row r="222" spans="1:12" x14ac:dyDescent="0.3">
      <c r="A222" s="12">
        <v>221</v>
      </c>
      <c r="B222" s="1">
        <v>1196</v>
      </c>
      <c r="C222" s="1" t="s">
        <v>176</v>
      </c>
      <c r="D222" s="1">
        <v>104</v>
      </c>
      <c r="E222" s="1" t="s">
        <v>82</v>
      </c>
      <c r="F222" s="1">
        <v>12</v>
      </c>
      <c r="G222" s="1">
        <v>1</v>
      </c>
      <c r="H222" s="9">
        <v>2394792425</v>
      </c>
      <c r="I222" s="9">
        <v>337150316790</v>
      </c>
      <c r="J222" s="1">
        <v>100</v>
      </c>
      <c r="K222" s="1">
        <v>222</v>
      </c>
      <c r="L222" s="22">
        <v>3371503167900</v>
      </c>
    </row>
    <row r="223" spans="1:12" x14ac:dyDescent="0.3">
      <c r="A223" s="12">
        <v>222</v>
      </c>
      <c r="B223" s="1">
        <v>1197</v>
      </c>
      <c r="C223" s="1" t="s">
        <v>46</v>
      </c>
      <c r="D223" s="1">
        <v>104</v>
      </c>
      <c r="E223" s="1" t="s">
        <v>82</v>
      </c>
      <c r="F223" s="1">
        <v>12</v>
      </c>
      <c r="G223" s="1">
        <v>1</v>
      </c>
      <c r="H223" s="9">
        <v>2438632446</v>
      </c>
      <c r="I223" s="9">
        <v>353816708160</v>
      </c>
      <c r="J223" s="1">
        <v>100</v>
      </c>
      <c r="K223" s="1">
        <v>223</v>
      </c>
      <c r="L223" s="22">
        <v>3538167081600</v>
      </c>
    </row>
    <row r="224" spans="1:12" x14ac:dyDescent="0.3">
      <c r="A224" s="12">
        <v>223</v>
      </c>
      <c r="B224" s="1">
        <v>1198</v>
      </c>
      <c r="C224" s="1" t="s">
        <v>46</v>
      </c>
      <c r="D224" s="1">
        <v>104</v>
      </c>
      <c r="E224" s="1" t="s">
        <v>82</v>
      </c>
      <c r="F224" s="1">
        <v>12</v>
      </c>
      <c r="G224" s="1">
        <v>1</v>
      </c>
      <c r="H224" s="9">
        <v>2483122135</v>
      </c>
      <c r="I224" s="9">
        <v>371291888307</v>
      </c>
      <c r="J224" s="1">
        <v>100</v>
      </c>
      <c r="K224" s="1">
        <v>224</v>
      </c>
      <c r="L224" s="22">
        <v>3712918883070</v>
      </c>
    </row>
    <row r="225" spans="1:12" x14ac:dyDescent="0.3">
      <c r="A225" s="12">
        <v>224</v>
      </c>
      <c r="B225" s="1">
        <v>1199</v>
      </c>
      <c r="C225" s="1" t="s">
        <v>46</v>
      </c>
      <c r="D225" s="1">
        <v>104</v>
      </c>
      <c r="E225" s="1" t="s">
        <v>82</v>
      </c>
      <c r="F225" s="1">
        <v>12</v>
      </c>
      <c r="G225" s="1">
        <v>1</v>
      </c>
      <c r="H225" s="9">
        <v>2528165928</v>
      </c>
      <c r="I225" s="9">
        <v>389614536622</v>
      </c>
      <c r="J225" s="1">
        <v>100</v>
      </c>
      <c r="K225" s="1">
        <v>225</v>
      </c>
      <c r="L225" s="22">
        <v>3896145366220</v>
      </c>
    </row>
    <row r="226" spans="1:12" x14ac:dyDescent="0.3">
      <c r="A226" s="12">
        <v>225</v>
      </c>
      <c r="B226" s="1">
        <v>1200</v>
      </c>
      <c r="C226" s="1" t="s">
        <v>46</v>
      </c>
      <c r="D226" s="1">
        <v>104</v>
      </c>
      <c r="E226" s="1" t="s">
        <v>82</v>
      </c>
      <c r="F226" s="1">
        <v>12</v>
      </c>
      <c r="G226" s="1">
        <v>1</v>
      </c>
      <c r="H226" s="9">
        <v>2573819550</v>
      </c>
      <c r="I226" s="9">
        <v>408825086287</v>
      </c>
      <c r="J226" s="1">
        <v>100</v>
      </c>
      <c r="K226" s="1">
        <v>226</v>
      </c>
      <c r="L226" s="22">
        <v>4088250862870</v>
      </c>
    </row>
    <row r="227" spans="1:12" x14ac:dyDescent="0.3">
      <c r="A227" s="12">
        <v>226</v>
      </c>
      <c r="B227" s="1">
        <v>1201</v>
      </c>
      <c r="C227" s="1" t="s">
        <v>46</v>
      </c>
      <c r="D227" s="1">
        <v>104</v>
      </c>
      <c r="E227" s="1" t="s">
        <v>82</v>
      </c>
      <c r="F227" s="1">
        <v>12</v>
      </c>
      <c r="G227" s="1">
        <v>1</v>
      </c>
      <c r="H227" s="9">
        <v>2620088475</v>
      </c>
      <c r="I227" s="9">
        <v>428965874123</v>
      </c>
      <c r="J227" s="1">
        <v>100</v>
      </c>
      <c r="K227" s="1">
        <v>227</v>
      </c>
      <c r="L227" s="22">
        <v>4289658741230</v>
      </c>
    </row>
    <row r="228" spans="1:12" x14ac:dyDescent="0.3">
      <c r="A228" s="12">
        <v>227</v>
      </c>
      <c r="B228" s="1">
        <v>1202</v>
      </c>
      <c r="C228" s="1" t="s">
        <v>46</v>
      </c>
      <c r="D228" s="1">
        <v>104</v>
      </c>
      <c r="E228" s="1" t="s">
        <v>82</v>
      </c>
      <c r="F228" s="1">
        <v>12</v>
      </c>
      <c r="G228" s="1">
        <v>1</v>
      </c>
      <c r="H228" s="9">
        <v>2667030767</v>
      </c>
      <c r="I228" s="9">
        <v>450081296471</v>
      </c>
      <c r="J228" s="1">
        <v>100</v>
      </c>
      <c r="K228" s="1">
        <v>228</v>
      </c>
      <c r="L228" s="22">
        <v>4500812964710</v>
      </c>
    </row>
    <row r="229" spans="1:12" x14ac:dyDescent="0.3">
      <c r="A229" s="12">
        <v>228</v>
      </c>
      <c r="B229" s="1">
        <v>1203</v>
      </c>
      <c r="C229" s="1" t="s">
        <v>46</v>
      </c>
      <c r="D229" s="1">
        <v>104</v>
      </c>
      <c r="E229" s="1" t="s">
        <v>82</v>
      </c>
      <c r="F229" s="1">
        <v>12</v>
      </c>
      <c r="G229" s="1">
        <v>1</v>
      </c>
      <c r="H229" s="9">
        <v>2714547297</v>
      </c>
      <c r="I229" s="9">
        <v>472217759107</v>
      </c>
      <c r="J229" s="1">
        <v>100</v>
      </c>
      <c r="K229" s="1">
        <v>229</v>
      </c>
      <c r="L229" s="22">
        <v>4722177591070</v>
      </c>
    </row>
    <row r="230" spans="1:12" x14ac:dyDescent="0.3">
      <c r="A230" s="12">
        <v>229</v>
      </c>
      <c r="B230" s="1">
        <v>1204</v>
      </c>
      <c r="C230" s="1" t="s">
        <v>46</v>
      </c>
      <c r="D230" s="1">
        <v>104</v>
      </c>
      <c r="E230" s="1" t="s">
        <v>82</v>
      </c>
      <c r="F230" s="1">
        <v>12</v>
      </c>
      <c r="G230" s="1">
        <v>1</v>
      </c>
      <c r="H230" s="9">
        <v>2762695713</v>
      </c>
      <c r="I230" s="9">
        <v>495423889616</v>
      </c>
      <c r="J230" s="1">
        <v>100</v>
      </c>
      <c r="K230" s="1">
        <v>230</v>
      </c>
      <c r="L230" s="22">
        <v>4954238896160</v>
      </c>
    </row>
    <row r="231" spans="1:12" x14ac:dyDescent="0.3">
      <c r="A231" s="12">
        <v>230</v>
      </c>
      <c r="B231" s="1">
        <v>1205</v>
      </c>
      <c r="C231" s="1" t="s">
        <v>46</v>
      </c>
      <c r="D231" s="1">
        <v>104</v>
      </c>
      <c r="E231" s="1" t="s">
        <v>82</v>
      </c>
      <c r="F231" s="1">
        <v>12</v>
      </c>
      <c r="G231" s="1">
        <v>1</v>
      </c>
      <c r="H231" s="9">
        <v>2811535548</v>
      </c>
      <c r="I231" s="9">
        <v>519750596874</v>
      </c>
      <c r="J231" s="1">
        <v>100</v>
      </c>
      <c r="K231" s="1">
        <v>231</v>
      </c>
      <c r="L231" s="22">
        <v>5197505968740</v>
      </c>
    </row>
    <row r="232" spans="1:12" x14ac:dyDescent="0.3">
      <c r="A232" s="12">
        <v>231</v>
      </c>
      <c r="B232" s="1">
        <v>1206</v>
      </c>
      <c r="C232" s="1" t="s">
        <v>46</v>
      </c>
      <c r="D232" s="1">
        <v>104</v>
      </c>
      <c r="E232" s="1" t="s">
        <v>82</v>
      </c>
      <c r="F232" s="1">
        <v>12</v>
      </c>
      <c r="G232" s="1">
        <v>1</v>
      </c>
      <c r="H232" s="9">
        <v>2860964956</v>
      </c>
      <c r="I232" s="9">
        <v>545251240028</v>
      </c>
      <c r="J232" s="1">
        <v>100</v>
      </c>
      <c r="K232" s="1">
        <v>232</v>
      </c>
      <c r="L232" s="22">
        <v>5452512400280</v>
      </c>
    </row>
    <row r="233" spans="1:12" x14ac:dyDescent="0.3">
      <c r="A233" s="12">
        <v>232</v>
      </c>
      <c r="B233" s="1">
        <v>1207</v>
      </c>
      <c r="C233" s="1" t="s">
        <v>46</v>
      </c>
      <c r="D233" s="1">
        <v>104</v>
      </c>
      <c r="E233" s="1" t="s">
        <v>82</v>
      </c>
      <c r="F233" s="1">
        <v>12</v>
      </c>
      <c r="G233" s="1">
        <v>1</v>
      </c>
      <c r="H233" s="9">
        <v>2911043051</v>
      </c>
      <c r="I233" s="9">
        <v>571981584188</v>
      </c>
      <c r="J233" s="1">
        <v>100</v>
      </c>
      <c r="K233" s="1">
        <v>233</v>
      </c>
      <c r="L233" s="22">
        <v>5719815841880</v>
      </c>
    </row>
    <row r="234" spans="1:12" x14ac:dyDescent="0.3">
      <c r="A234" s="12">
        <v>233</v>
      </c>
      <c r="B234" s="1">
        <v>1208</v>
      </c>
      <c r="C234" s="1" t="s">
        <v>46</v>
      </c>
      <c r="D234" s="1">
        <v>104</v>
      </c>
      <c r="E234" s="1" t="s">
        <v>82</v>
      </c>
      <c r="F234" s="1">
        <v>12</v>
      </c>
      <c r="G234" s="1">
        <v>1</v>
      </c>
      <c r="H234" s="9">
        <v>2961830857</v>
      </c>
      <c r="I234" s="9">
        <v>600000027993</v>
      </c>
      <c r="J234" s="1">
        <v>100</v>
      </c>
      <c r="K234" s="1">
        <v>234</v>
      </c>
      <c r="L234" s="22">
        <v>6000000279930</v>
      </c>
    </row>
    <row r="235" spans="1:12" x14ac:dyDescent="0.3">
      <c r="A235" s="12">
        <v>234</v>
      </c>
      <c r="B235" s="1">
        <v>1209</v>
      </c>
      <c r="C235" s="1" t="s">
        <v>46</v>
      </c>
      <c r="D235" s="1">
        <v>104</v>
      </c>
      <c r="E235" s="1" t="s">
        <v>82</v>
      </c>
      <c r="F235" s="1">
        <v>12</v>
      </c>
      <c r="G235" s="1">
        <v>1</v>
      </c>
      <c r="H235" s="9">
        <v>3013223775</v>
      </c>
      <c r="I235" s="9">
        <v>629367784559</v>
      </c>
      <c r="J235" s="1">
        <v>100</v>
      </c>
      <c r="K235" s="1">
        <v>235</v>
      </c>
      <c r="L235" s="22">
        <v>6293677845590</v>
      </c>
    </row>
    <row r="236" spans="1:12" x14ac:dyDescent="0.3">
      <c r="A236" s="12">
        <v>235</v>
      </c>
      <c r="B236" s="1">
        <v>1210</v>
      </c>
      <c r="C236" s="1" t="s">
        <v>46</v>
      </c>
      <c r="D236" s="1">
        <v>104</v>
      </c>
      <c r="E236" s="1" t="s">
        <v>82</v>
      </c>
      <c r="F236" s="1">
        <v>12</v>
      </c>
      <c r="G236" s="1">
        <v>1</v>
      </c>
      <c r="H236" s="9">
        <v>3065282401</v>
      </c>
      <c r="I236" s="9">
        <v>660148843572</v>
      </c>
      <c r="J236" s="1">
        <v>100</v>
      </c>
      <c r="K236" s="1">
        <v>236</v>
      </c>
      <c r="L236" s="22">
        <v>6601488435720</v>
      </c>
    </row>
    <row r="237" spans="1:12" x14ac:dyDescent="0.3">
      <c r="A237" s="12">
        <v>236</v>
      </c>
      <c r="B237" s="1">
        <v>1211</v>
      </c>
      <c r="C237" s="1" t="s">
        <v>46</v>
      </c>
      <c r="D237" s="1">
        <v>104</v>
      </c>
      <c r="E237" s="1" t="s">
        <v>82</v>
      </c>
      <c r="F237" s="1">
        <v>12</v>
      </c>
      <c r="G237" s="1">
        <v>1</v>
      </c>
      <c r="H237" s="9">
        <v>3118069269</v>
      </c>
      <c r="I237" s="9">
        <v>692410269274</v>
      </c>
      <c r="J237" s="1">
        <v>100</v>
      </c>
      <c r="K237" s="1">
        <v>237</v>
      </c>
      <c r="L237" s="22">
        <v>6924102692740</v>
      </c>
    </row>
    <row r="238" spans="1:12" x14ac:dyDescent="0.3">
      <c r="A238" s="12">
        <v>237</v>
      </c>
      <c r="B238" s="1">
        <v>1212</v>
      </c>
      <c r="C238" s="1" t="s">
        <v>46</v>
      </c>
      <c r="D238" s="1">
        <v>104</v>
      </c>
      <c r="E238" s="1" t="s">
        <v>82</v>
      </c>
      <c r="F238" s="1">
        <v>12</v>
      </c>
      <c r="G238" s="1">
        <v>1</v>
      </c>
      <c r="H238" s="9">
        <v>3171476987</v>
      </c>
      <c r="I238" s="9">
        <v>726222224305</v>
      </c>
      <c r="J238" s="1">
        <v>100</v>
      </c>
      <c r="K238" s="1">
        <v>238</v>
      </c>
      <c r="L238" s="22">
        <v>7262222243050</v>
      </c>
    </row>
    <row r="239" spans="1:12" x14ac:dyDescent="0.3">
      <c r="A239" s="12">
        <v>238</v>
      </c>
      <c r="B239" s="1">
        <v>1213</v>
      </c>
      <c r="C239" s="1" t="s">
        <v>46</v>
      </c>
      <c r="D239" s="1">
        <v>104</v>
      </c>
      <c r="E239" s="1" t="s">
        <v>82</v>
      </c>
      <c r="F239" s="1">
        <v>12</v>
      </c>
      <c r="G239" s="1">
        <v>1</v>
      </c>
      <c r="H239" s="9">
        <v>3225625433</v>
      </c>
      <c r="I239" s="9">
        <v>761658164820</v>
      </c>
      <c r="J239" s="1">
        <v>100</v>
      </c>
      <c r="K239" s="1">
        <v>239</v>
      </c>
      <c r="L239" s="22">
        <v>7616581648200</v>
      </c>
    </row>
    <row r="240" spans="1:12" x14ac:dyDescent="0.3">
      <c r="A240" s="12">
        <v>239</v>
      </c>
      <c r="B240" s="1">
        <v>1214</v>
      </c>
      <c r="C240" s="1" t="s">
        <v>46</v>
      </c>
      <c r="D240" s="1">
        <v>104</v>
      </c>
      <c r="E240" s="1" t="s">
        <v>82</v>
      </c>
      <c r="F240" s="1">
        <v>12</v>
      </c>
      <c r="G240" s="1">
        <v>1</v>
      </c>
      <c r="H240" s="9">
        <v>3280405336</v>
      </c>
      <c r="I240" s="9">
        <v>798794984005</v>
      </c>
      <c r="J240" s="1">
        <v>100</v>
      </c>
      <c r="K240" s="1">
        <v>240</v>
      </c>
      <c r="L240" s="22">
        <v>7987949840050</v>
      </c>
    </row>
    <row r="241" spans="1:12" x14ac:dyDescent="0.3">
      <c r="A241" s="13">
        <v>240</v>
      </c>
      <c r="B241" s="14">
        <v>1215</v>
      </c>
      <c r="C241" s="14" t="s">
        <v>145</v>
      </c>
      <c r="D241" s="14">
        <v>104</v>
      </c>
      <c r="E241" s="14" t="s">
        <v>82</v>
      </c>
      <c r="F241" s="1">
        <v>1</v>
      </c>
      <c r="G241" s="1">
        <v>999</v>
      </c>
      <c r="H241" s="15">
        <f>H242*0.9</f>
        <v>3052902541.5</v>
      </c>
      <c r="I241" s="15">
        <f>837713218176*10</f>
        <v>8377132181760</v>
      </c>
      <c r="J241" s="14">
        <v>1</v>
      </c>
      <c r="K241" s="14">
        <v>241</v>
      </c>
      <c r="L241" s="22">
        <v>83771321817600</v>
      </c>
    </row>
    <row r="242" spans="1:12" x14ac:dyDescent="0.3">
      <c r="A242" s="12">
        <v>241</v>
      </c>
      <c r="B242" s="1">
        <v>1216</v>
      </c>
      <c r="C242" s="1" t="s">
        <v>176</v>
      </c>
      <c r="D242" s="1">
        <v>101</v>
      </c>
      <c r="E242" s="1" t="s">
        <v>82</v>
      </c>
      <c r="F242" s="1">
        <v>12</v>
      </c>
      <c r="G242" s="1">
        <v>1</v>
      </c>
      <c r="H242" s="9">
        <v>3392113935</v>
      </c>
      <c r="I242" s="9">
        <v>878497081941</v>
      </c>
      <c r="J242" s="1">
        <v>100</v>
      </c>
      <c r="K242" s="1">
        <v>242</v>
      </c>
      <c r="L242" s="22">
        <v>8784970819410</v>
      </c>
    </row>
    <row r="243" spans="1:12" x14ac:dyDescent="0.3">
      <c r="A243" s="12">
        <v>242</v>
      </c>
      <c r="B243" s="1">
        <v>1217</v>
      </c>
      <c r="C243" s="1" t="s">
        <v>46</v>
      </c>
      <c r="D243" s="1">
        <v>101</v>
      </c>
      <c r="E243" s="1" t="s">
        <v>82</v>
      </c>
      <c r="F243" s="1">
        <v>12</v>
      </c>
      <c r="G243" s="1">
        <v>1</v>
      </c>
      <c r="H243" s="9">
        <v>3449055331</v>
      </c>
      <c r="I243" s="9">
        <v>921234800072</v>
      </c>
      <c r="J243" s="1">
        <v>100</v>
      </c>
      <c r="K243" s="1">
        <v>243</v>
      </c>
      <c r="L243" s="22">
        <v>9212348000720</v>
      </c>
    </row>
    <row r="244" spans="1:12" x14ac:dyDescent="0.3">
      <c r="A244" s="12">
        <v>243</v>
      </c>
      <c r="B244" s="1">
        <v>1218</v>
      </c>
      <c r="C244" s="1" t="s">
        <v>46</v>
      </c>
      <c r="D244" s="1">
        <v>101</v>
      </c>
      <c r="E244" s="1" t="s">
        <v>82</v>
      </c>
      <c r="F244" s="1">
        <v>12</v>
      </c>
      <c r="G244" s="1">
        <v>1</v>
      </c>
      <c r="H244" s="9">
        <v>3506649665</v>
      </c>
      <c r="I244" s="9">
        <v>966018651043</v>
      </c>
      <c r="J244" s="1">
        <v>100</v>
      </c>
      <c r="K244" s="1">
        <v>244</v>
      </c>
      <c r="L244" s="22">
        <v>9660186510430</v>
      </c>
    </row>
    <row r="245" spans="1:12" x14ac:dyDescent="0.3">
      <c r="A245" s="12">
        <v>244</v>
      </c>
      <c r="B245" s="1">
        <v>1219</v>
      </c>
      <c r="C245" s="1" t="s">
        <v>46</v>
      </c>
      <c r="D245" s="1">
        <v>101</v>
      </c>
      <c r="E245" s="1" t="s">
        <v>82</v>
      </c>
      <c r="F245" s="1">
        <v>12</v>
      </c>
      <c r="G245" s="1">
        <v>1</v>
      </c>
      <c r="H245" s="9">
        <v>3565022824</v>
      </c>
      <c r="I245" s="9">
        <v>1012945251567</v>
      </c>
      <c r="J245" s="1">
        <v>100</v>
      </c>
      <c r="K245" s="1">
        <v>245</v>
      </c>
      <c r="L245" s="22">
        <v>10129452515670</v>
      </c>
    </row>
    <row r="246" spans="1:12" x14ac:dyDescent="0.3">
      <c r="A246" s="12">
        <v>245</v>
      </c>
      <c r="B246" s="1">
        <v>1220</v>
      </c>
      <c r="C246" s="1" t="s">
        <v>46</v>
      </c>
      <c r="D246" s="1">
        <v>101</v>
      </c>
      <c r="E246" s="1" t="s">
        <v>82</v>
      </c>
      <c r="F246" s="1">
        <v>12</v>
      </c>
      <c r="G246" s="1">
        <v>1</v>
      </c>
      <c r="H246" s="9">
        <v>3624059796</v>
      </c>
      <c r="I246" s="9">
        <v>1062115728702</v>
      </c>
      <c r="J246" s="1">
        <v>100</v>
      </c>
      <c r="K246" s="1">
        <v>246</v>
      </c>
      <c r="L246" s="22">
        <v>10621157287020</v>
      </c>
    </row>
    <row r="247" spans="1:12" x14ac:dyDescent="0.3">
      <c r="A247" s="12">
        <v>246</v>
      </c>
      <c r="B247" s="1">
        <v>1221</v>
      </c>
      <c r="C247" s="1" t="s">
        <v>46</v>
      </c>
      <c r="D247" s="1">
        <v>101</v>
      </c>
      <c r="E247" s="1" t="s">
        <v>82</v>
      </c>
      <c r="F247" s="1">
        <v>12</v>
      </c>
      <c r="G247" s="1">
        <v>1</v>
      </c>
      <c r="H247" s="9">
        <v>3683888503</v>
      </c>
      <c r="I247" s="9">
        <v>1113635957816</v>
      </c>
      <c r="J247" s="1">
        <v>100</v>
      </c>
      <c r="K247" s="1">
        <v>247</v>
      </c>
      <c r="L247" s="22">
        <v>11136359578160</v>
      </c>
    </row>
    <row r="248" spans="1:12" x14ac:dyDescent="0.3">
      <c r="A248" s="12">
        <v>247</v>
      </c>
      <c r="B248" s="1">
        <v>1222</v>
      </c>
      <c r="C248" s="1" t="s">
        <v>46</v>
      </c>
      <c r="D248" s="1">
        <v>101</v>
      </c>
      <c r="E248" s="1" t="s">
        <v>82</v>
      </c>
      <c r="F248" s="1">
        <v>12</v>
      </c>
      <c r="G248" s="1">
        <v>1</v>
      </c>
      <c r="H248" s="9">
        <v>3744391989</v>
      </c>
      <c r="I248" s="9">
        <v>1167616683300</v>
      </c>
      <c r="J248" s="1">
        <v>100</v>
      </c>
      <c r="K248" s="1">
        <v>248</v>
      </c>
      <c r="L248" s="22">
        <v>11676166833000</v>
      </c>
    </row>
    <row r="249" spans="1:12" x14ac:dyDescent="0.3">
      <c r="A249" s="12">
        <v>248</v>
      </c>
      <c r="B249" s="1">
        <v>1223</v>
      </c>
      <c r="C249" s="1" t="s">
        <v>46</v>
      </c>
      <c r="D249" s="1">
        <v>101</v>
      </c>
      <c r="E249" s="1" t="s">
        <v>82</v>
      </c>
      <c r="F249" s="1">
        <v>12</v>
      </c>
      <c r="G249" s="1">
        <v>1</v>
      </c>
      <c r="H249" s="9">
        <v>3805700229</v>
      </c>
      <c r="I249" s="9">
        <v>1224173828693</v>
      </c>
      <c r="J249" s="1">
        <v>100</v>
      </c>
      <c r="K249" s="1">
        <v>249</v>
      </c>
      <c r="L249" s="22">
        <v>12241738286930</v>
      </c>
    </row>
    <row r="250" spans="1:12" x14ac:dyDescent="0.3">
      <c r="A250" s="12">
        <v>249</v>
      </c>
      <c r="B250" s="1">
        <v>1224</v>
      </c>
      <c r="C250" s="1" t="s">
        <v>46</v>
      </c>
      <c r="D250" s="1">
        <v>101</v>
      </c>
      <c r="E250" s="1" t="s">
        <v>82</v>
      </c>
      <c r="F250" s="1">
        <v>12</v>
      </c>
      <c r="G250" s="1">
        <v>1</v>
      </c>
      <c r="H250" s="9">
        <v>3867757542</v>
      </c>
      <c r="I250" s="9">
        <v>1283428753929</v>
      </c>
      <c r="J250" s="1">
        <v>100</v>
      </c>
      <c r="K250" s="1">
        <v>250</v>
      </c>
      <c r="L250" s="22">
        <v>12834287539290</v>
      </c>
    </row>
    <row r="251" spans="1:12" x14ac:dyDescent="0.3">
      <c r="A251" s="12">
        <v>250</v>
      </c>
      <c r="B251" s="1">
        <v>1225</v>
      </c>
      <c r="C251" s="1" t="s">
        <v>46</v>
      </c>
      <c r="D251" s="1">
        <v>101</v>
      </c>
      <c r="E251" s="1" t="s">
        <v>82</v>
      </c>
      <c r="F251" s="1">
        <v>12</v>
      </c>
      <c r="G251" s="1">
        <v>1</v>
      </c>
      <c r="H251" s="9">
        <v>3930506250</v>
      </c>
      <c r="I251" s="9">
        <v>1345508456250</v>
      </c>
      <c r="J251" s="1">
        <v>100</v>
      </c>
      <c r="K251" s="1">
        <v>251</v>
      </c>
      <c r="L251" s="22">
        <v>13455084562500</v>
      </c>
    </row>
    <row r="252" spans="1:12" x14ac:dyDescent="0.3">
      <c r="A252" s="12">
        <v>251</v>
      </c>
      <c r="B252" s="1">
        <v>1226</v>
      </c>
      <c r="C252" s="1" t="s">
        <v>46</v>
      </c>
      <c r="D252" s="1">
        <v>101</v>
      </c>
      <c r="E252" s="1" t="s">
        <v>82</v>
      </c>
      <c r="F252" s="1">
        <v>12</v>
      </c>
      <c r="G252" s="1">
        <v>1</v>
      </c>
      <c r="H252" s="9">
        <v>3994079437</v>
      </c>
      <c r="I252" s="9">
        <v>1410545839821</v>
      </c>
      <c r="J252" s="1">
        <v>100</v>
      </c>
      <c r="K252" s="1">
        <v>252</v>
      </c>
      <c r="L252" s="22">
        <v>14105458398210</v>
      </c>
    </row>
    <row r="253" spans="1:12" x14ac:dyDescent="0.3">
      <c r="A253" s="12">
        <v>252</v>
      </c>
      <c r="B253" s="1">
        <v>1227</v>
      </c>
      <c r="C253" s="1" t="s">
        <v>46</v>
      </c>
      <c r="D253" s="1">
        <v>101</v>
      </c>
      <c r="E253" s="1" t="s">
        <v>82</v>
      </c>
      <c r="F253" s="1">
        <v>12</v>
      </c>
      <c r="G253" s="1">
        <v>1</v>
      </c>
      <c r="H253" s="9">
        <v>4058419982</v>
      </c>
      <c r="I253" s="9">
        <v>1478679992919</v>
      </c>
      <c r="J253" s="1">
        <v>100</v>
      </c>
      <c r="K253" s="1">
        <v>253</v>
      </c>
      <c r="L253" s="22">
        <v>14786799929190</v>
      </c>
    </row>
    <row r="254" spans="1:12" x14ac:dyDescent="0.3">
      <c r="A254" s="12">
        <v>253</v>
      </c>
      <c r="B254" s="1">
        <v>1228</v>
      </c>
      <c r="C254" s="1" t="s">
        <v>46</v>
      </c>
      <c r="D254" s="1">
        <v>101</v>
      </c>
      <c r="E254" s="1" t="s">
        <v>82</v>
      </c>
      <c r="F254" s="1">
        <v>12</v>
      </c>
      <c r="G254" s="1">
        <v>1</v>
      </c>
      <c r="H254" s="9">
        <v>4123468741</v>
      </c>
      <c r="I254" s="9">
        <v>1550056407473</v>
      </c>
      <c r="J254" s="1">
        <v>100</v>
      </c>
      <c r="K254" s="1">
        <v>254</v>
      </c>
      <c r="L254" s="22">
        <v>15500564074730</v>
      </c>
    </row>
    <row r="255" spans="1:12" x14ac:dyDescent="0.3">
      <c r="A255" s="12">
        <v>254</v>
      </c>
      <c r="B255" s="1">
        <v>1229</v>
      </c>
      <c r="C255" s="1" t="s">
        <v>46</v>
      </c>
      <c r="D255" s="1">
        <v>101</v>
      </c>
      <c r="E255" s="1" t="s">
        <v>82</v>
      </c>
      <c r="F255" s="1">
        <v>12</v>
      </c>
      <c r="G255" s="1">
        <v>1</v>
      </c>
      <c r="H255" s="9">
        <v>4189361943</v>
      </c>
      <c r="I255" s="9">
        <v>1624827400661</v>
      </c>
      <c r="J255" s="1">
        <v>100</v>
      </c>
      <c r="K255" s="1">
        <v>255</v>
      </c>
      <c r="L255" s="22">
        <v>16248274006610</v>
      </c>
    </row>
    <row r="256" spans="1:12" x14ac:dyDescent="0.3">
      <c r="A256" s="12">
        <v>255</v>
      </c>
      <c r="B256" s="1">
        <v>1230</v>
      </c>
      <c r="C256" s="1" t="s">
        <v>46</v>
      </c>
      <c r="D256" s="1">
        <v>101</v>
      </c>
      <c r="E256" s="1" t="s">
        <v>82</v>
      </c>
      <c r="F256" s="1">
        <v>12</v>
      </c>
      <c r="G256" s="1">
        <v>1</v>
      </c>
      <c r="H256" s="9">
        <v>4256041009</v>
      </c>
      <c r="I256" s="9">
        <v>1703152417873</v>
      </c>
      <c r="J256" s="1">
        <v>100</v>
      </c>
      <c r="K256" s="1">
        <v>256</v>
      </c>
      <c r="L256" s="22">
        <v>17031524178730</v>
      </c>
    </row>
    <row r="257" spans="1:12" x14ac:dyDescent="0.3">
      <c r="A257" s="12">
        <v>256</v>
      </c>
      <c r="B257" s="1">
        <v>1231</v>
      </c>
      <c r="C257" s="1" t="s">
        <v>46</v>
      </c>
      <c r="D257" s="1">
        <v>101</v>
      </c>
      <c r="E257" s="1" t="s">
        <v>82</v>
      </c>
      <c r="F257" s="1">
        <v>12</v>
      </c>
      <c r="G257" s="1">
        <v>1</v>
      </c>
      <c r="H257" s="9">
        <v>4323445309</v>
      </c>
      <c r="I257" s="9">
        <v>1785198143078</v>
      </c>
      <c r="J257" s="1">
        <v>100</v>
      </c>
      <c r="K257" s="1">
        <v>257</v>
      </c>
      <c r="L257" s="22">
        <v>17851981430780</v>
      </c>
    </row>
    <row r="258" spans="1:12" x14ac:dyDescent="0.3">
      <c r="A258" s="12">
        <v>257</v>
      </c>
      <c r="B258" s="1">
        <v>1232</v>
      </c>
      <c r="C258" s="1" t="s">
        <v>46</v>
      </c>
      <c r="D258" s="1">
        <v>101</v>
      </c>
      <c r="E258" s="1" t="s">
        <v>82</v>
      </c>
      <c r="F258" s="1">
        <v>12</v>
      </c>
      <c r="G258" s="1">
        <v>1</v>
      </c>
      <c r="H258" s="9">
        <v>4391714256</v>
      </c>
      <c r="I258" s="9">
        <v>1871139146748</v>
      </c>
      <c r="J258" s="1">
        <v>100</v>
      </c>
      <c r="K258" s="1">
        <v>258</v>
      </c>
      <c r="L258" s="22">
        <v>18711391467480</v>
      </c>
    </row>
    <row r="259" spans="1:12" x14ac:dyDescent="0.3">
      <c r="A259" s="12">
        <v>258</v>
      </c>
      <c r="B259" s="1">
        <v>1233</v>
      </c>
      <c r="C259" s="1" t="s">
        <v>46</v>
      </c>
      <c r="D259" s="1">
        <v>101</v>
      </c>
      <c r="E259" s="1" t="s">
        <v>82</v>
      </c>
      <c r="F259" s="1">
        <v>12</v>
      </c>
      <c r="G259" s="1">
        <v>1</v>
      </c>
      <c r="H259" s="9">
        <v>4460787791</v>
      </c>
      <c r="I259" s="9">
        <v>1961158082297</v>
      </c>
      <c r="J259" s="1">
        <v>100</v>
      </c>
      <c r="K259" s="1">
        <v>259</v>
      </c>
      <c r="L259" s="22">
        <v>19611580822970</v>
      </c>
    </row>
    <row r="260" spans="1:12" x14ac:dyDescent="0.3">
      <c r="A260" s="12">
        <v>259</v>
      </c>
      <c r="B260" s="1">
        <v>1234</v>
      </c>
      <c r="C260" s="1" t="s">
        <v>46</v>
      </c>
      <c r="D260" s="1">
        <v>101</v>
      </c>
      <c r="E260" s="1" t="s">
        <v>82</v>
      </c>
      <c r="F260" s="1">
        <v>12</v>
      </c>
      <c r="G260" s="1">
        <v>1</v>
      </c>
      <c r="H260" s="9">
        <v>4530672205</v>
      </c>
      <c r="I260" s="9">
        <v>2055445952865</v>
      </c>
      <c r="J260" s="1">
        <v>100</v>
      </c>
      <c r="K260" s="1">
        <v>260</v>
      </c>
      <c r="L260" s="22">
        <v>20554459528650</v>
      </c>
    </row>
    <row r="261" spans="1:12" x14ac:dyDescent="0.3">
      <c r="A261" s="13">
        <v>260</v>
      </c>
      <c r="B261" s="14">
        <v>1235</v>
      </c>
      <c r="C261" s="14" t="s">
        <v>146</v>
      </c>
      <c r="D261" s="14">
        <v>101</v>
      </c>
      <c r="E261" s="14" t="s">
        <v>82</v>
      </c>
      <c r="F261" s="1">
        <v>1</v>
      </c>
      <c r="G261" s="1">
        <v>999</v>
      </c>
      <c r="H261" s="15">
        <f>H262*0.9</f>
        <v>4205609064.9000001</v>
      </c>
      <c r="I261" s="15">
        <f>2154202727976*10</f>
        <v>21542027279760</v>
      </c>
      <c r="J261" s="14">
        <v>1</v>
      </c>
      <c r="K261" s="14">
        <v>261</v>
      </c>
      <c r="L261" s="22">
        <v>215420272797600</v>
      </c>
    </row>
    <row r="262" spans="1:12" x14ac:dyDescent="0.3">
      <c r="A262" s="12">
        <v>261</v>
      </c>
      <c r="B262" s="1">
        <v>1236</v>
      </c>
      <c r="C262" s="1" t="s">
        <v>176</v>
      </c>
      <c r="D262" s="1">
        <v>102</v>
      </c>
      <c r="E262" s="1" t="s">
        <v>82</v>
      </c>
      <c r="F262" s="1">
        <v>12</v>
      </c>
      <c r="G262" s="1">
        <v>1</v>
      </c>
      <c r="H262" s="9">
        <v>4672898961</v>
      </c>
      <c r="I262" s="9">
        <v>2257637633851</v>
      </c>
      <c r="J262" s="1">
        <v>100</v>
      </c>
      <c r="K262" s="1">
        <v>262</v>
      </c>
      <c r="L262" s="22">
        <v>22576376338510</v>
      </c>
    </row>
    <row r="263" spans="1:12" x14ac:dyDescent="0.3">
      <c r="A263" s="12">
        <v>262</v>
      </c>
      <c r="B263" s="1">
        <v>1237</v>
      </c>
      <c r="C263" s="1" t="s">
        <v>46</v>
      </c>
      <c r="D263" s="1">
        <v>102</v>
      </c>
      <c r="E263" s="1" t="s">
        <v>82</v>
      </c>
      <c r="F263" s="1">
        <v>12</v>
      </c>
      <c r="G263" s="1">
        <v>1</v>
      </c>
      <c r="H263" s="9">
        <v>4745183991</v>
      </c>
      <c r="I263" s="9">
        <v>2365969519102</v>
      </c>
      <c r="J263" s="1">
        <v>100</v>
      </c>
      <c r="K263" s="1">
        <v>263</v>
      </c>
      <c r="L263" s="22">
        <v>23659695191020</v>
      </c>
    </row>
    <row r="264" spans="1:12" x14ac:dyDescent="0.3">
      <c r="A264" s="12">
        <v>263</v>
      </c>
      <c r="B264" s="1">
        <v>1238</v>
      </c>
      <c r="C264" s="1" t="s">
        <v>46</v>
      </c>
      <c r="D264" s="1">
        <v>102</v>
      </c>
      <c r="E264" s="1" t="s">
        <v>82</v>
      </c>
      <c r="F264" s="1">
        <v>12</v>
      </c>
      <c r="G264" s="1">
        <v>1</v>
      </c>
      <c r="H264" s="9">
        <v>4818374792</v>
      </c>
      <c r="I264" s="9">
        <v>2479427440663</v>
      </c>
      <c r="J264" s="1">
        <v>100</v>
      </c>
      <c r="K264" s="1">
        <v>264</v>
      </c>
      <c r="L264" s="22">
        <v>24794274406630</v>
      </c>
    </row>
    <row r="265" spans="1:12" x14ac:dyDescent="0.3">
      <c r="A265" s="12">
        <v>264</v>
      </c>
      <c r="B265" s="1">
        <v>1239</v>
      </c>
      <c r="C265" s="1" t="s">
        <v>46</v>
      </c>
      <c r="D265" s="1">
        <v>102</v>
      </c>
      <c r="E265" s="1" t="s">
        <v>82</v>
      </c>
      <c r="F265" s="1">
        <v>12</v>
      </c>
      <c r="G265" s="1">
        <v>1</v>
      </c>
      <c r="H265" s="9">
        <v>4892408294</v>
      </c>
      <c r="I265" s="9">
        <v>2598250983736</v>
      </c>
      <c r="J265" s="1">
        <v>100</v>
      </c>
      <c r="K265" s="1">
        <v>265</v>
      </c>
      <c r="L265" s="22">
        <v>25982509837360</v>
      </c>
    </row>
    <row r="266" spans="1:12" x14ac:dyDescent="0.3">
      <c r="A266" s="12">
        <v>265</v>
      </c>
      <c r="B266" s="1">
        <v>1240</v>
      </c>
      <c r="C266" s="1" t="s">
        <v>46</v>
      </c>
      <c r="D266" s="1">
        <v>102</v>
      </c>
      <c r="E266" s="1" t="s">
        <v>82</v>
      </c>
      <c r="F266" s="1">
        <v>12</v>
      </c>
      <c r="G266" s="1">
        <v>1</v>
      </c>
      <c r="H266" s="9">
        <v>4967290936</v>
      </c>
      <c r="I266" s="9">
        <v>2722690873866</v>
      </c>
      <c r="J266" s="1">
        <v>100</v>
      </c>
      <c r="K266" s="1">
        <v>266</v>
      </c>
      <c r="L266" s="22">
        <v>27226908738660</v>
      </c>
    </row>
    <row r="267" spans="1:12" x14ac:dyDescent="0.3">
      <c r="A267" s="12">
        <v>266</v>
      </c>
      <c r="B267" s="1">
        <v>1241</v>
      </c>
      <c r="C267" s="1" t="s">
        <v>46</v>
      </c>
      <c r="D267" s="1">
        <v>102</v>
      </c>
      <c r="E267" s="1" t="s">
        <v>82</v>
      </c>
      <c r="F267" s="1">
        <v>12</v>
      </c>
      <c r="G267" s="1">
        <v>1</v>
      </c>
      <c r="H267" s="9">
        <v>5043029181</v>
      </c>
      <c r="I267" s="9">
        <v>2853009391179</v>
      </c>
      <c r="J267" s="1">
        <v>100</v>
      </c>
      <c r="K267" s="1">
        <v>267</v>
      </c>
      <c r="L267" s="22">
        <v>28530093911790</v>
      </c>
    </row>
    <row r="268" spans="1:12" x14ac:dyDescent="0.3">
      <c r="A268" s="12">
        <v>267</v>
      </c>
      <c r="B268" s="1">
        <v>1242</v>
      </c>
      <c r="C268" s="1" t="s">
        <v>46</v>
      </c>
      <c r="D268" s="1">
        <v>102</v>
      </c>
      <c r="E268" s="1" t="s">
        <v>82</v>
      </c>
      <c r="F268" s="1">
        <v>12</v>
      </c>
      <c r="G268" s="1">
        <v>1</v>
      </c>
      <c r="H268" s="9">
        <v>5119629515</v>
      </c>
      <c r="I268" s="9">
        <v>2989481011856</v>
      </c>
      <c r="J268" s="1">
        <v>100</v>
      </c>
      <c r="K268" s="1">
        <v>268</v>
      </c>
      <c r="L268" s="22">
        <v>29894810118560</v>
      </c>
    </row>
    <row r="269" spans="1:12" x14ac:dyDescent="0.3">
      <c r="A269" s="12">
        <v>268</v>
      </c>
      <c r="B269" s="1">
        <v>1243</v>
      </c>
      <c r="C269" s="1" t="s">
        <v>46</v>
      </c>
      <c r="D269" s="1">
        <v>102</v>
      </c>
      <c r="E269" s="1" t="s">
        <v>82</v>
      </c>
      <c r="F269" s="1">
        <v>12</v>
      </c>
      <c r="G269" s="1">
        <v>1</v>
      </c>
      <c r="H269" s="9">
        <v>5197098451</v>
      </c>
      <c r="I269" s="9">
        <v>3132392775563</v>
      </c>
      <c r="J269" s="1">
        <v>100</v>
      </c>
      <c r="K269" s="1">
        <v>269</v>
      </c>
      <c r="L269" s="22">
        <v>31323927755630</v>
      </c>
    </row>
    <row r="270" spans="1:12" x14ac:dyDescent="0.3">
      <c r="A270" s="12">
        <v>269</v>
      </c>
      <c r="B270" s="1">
        <v>1244</v>
      </c>
      <c r="C270" s="1" t="s">
        <v>46</v>
      </c>
      <c r="D270" s="1">
        <v>102</v>
      </c>
      <c r="E270" s="1" t="s">
        <v>82</v>
      </c>
      <c r="F270" s="1">
        <v>12</v>
      </c>
      <c r="G270" s="1">
        <v>1</v>
      </c>
      <c r="H270" s="9">
        <v>5275442524</v>
      </c>
      <c r="I270" s="9">
        <v>3282044954192</v>
      </c>
      <c r="J270" s="1">
        <v>100</v>
      </c>
      <c r="K270" s="1">
        <v>270</v>
      </c>
      <c r="L270" s="22">
        <v>32820449541920</v>
      </c>
    </row>
    <row r="271" spans="1:12" x14ac:dyDescent="0.3">
      <c r="A271" s="12">
        <v>270</v>
      </c>
      <c r="B271" s="1">
        <v>1245</v>
      </c>
      <c r="C271" s="1" t="s">
        <v>46</v>
      </c>
      <c r="D271" s="1">
        <v>102</v>
      </c>
      <c r="E271" s="1" t="s">
        <v>82</v>
      </c>
      <c r="F271" s="1">
        <v>12</v>
      </c>
      <c r="G271" s="1">
        <v>1</v>
      </c>
      <c r="H271" s="9">
        <v>5354668296</v>
      </c>
      <c r="I271" s="9">
        <v>3438751888620</v>
      </c>
      <c r="J271" s="1">
        <v>100</v>
      </c>
      <c r="K271" s="1">
        <v>271</v>
      </c>
      <c r="L271" s="22">
        <v>34387518886200</v>
      </c>
    </row>
    <row r="272" spans="1:12" x14ac:dyDescent="0.3">
      <c r="A272" s="12">
        <v>271</v>
      </c>
      <c r="B272" s="1">
        <v>1246</v>
      </c>
      <c r="C272" s="1" t="s">
        <v>46</v>
      </c>
      <c r="D272" s="1">
        <v>102</v>
      </c>
      <c r="E272" s="1" t="s">
        <v>82</v>
      </c>
      <c r="F272" s="1">
        <v>12</v>
      </c>
      <c r="G272" s="1">
        <v>1</v>
      </c>
      <c r="H272" s="9">
        <v>5434782350</v>
      </c>
      <c r="I272" s="9">
        <v>3602842177429</v>
      </c>
      <c r="J272" s="1">
        <v>100</v>
      </c>
      <c r="K272" s="1">
        <v>272</v>
      </c>
      <c r="L272" s="22">
        <v>36028421774290</v>
      </c>
    </row>
    <row r="273" spans="1:12" x14ac:dyDescent="0.3">
      <c r="A273" s="12">
        <v>272</v>
      </c>
      <c r="B273" s="1">
        <v>1247</v>
      </c>
      <c r="C273" s="1" t="s">
        <v>46</v>
      </c>
      <c r="D273" s="1">
        <v>102</v>
      </c>
      <c r="E273" s="1" t="s">
        <v>82</v>
      </c>
      <c r="F273" s="1">
        <v>12</v>
      </c>
      <c r="G273" s="1">
        <v>1</v>
      </c>
      <c r="H273" s="9">
        <v>5515791298</v>
      </c>
      <c r="I273" s="9">
        <v>3774659767726</v>
      </c>
      <c r="J273" s="1">
        <v>100</v>
      </c>
      <c r="K273" s="1">
        <v>273</v>
      </c>
      <c r="L273" s="22">
        <v>37746597677260</v>
      </c>
    </row>
    <row r="274" spans="1:12" x14ac:dyDescent="0.3">
      <c r="A274" s="12">
        <v>273</v>
      </c>
      <c r="B274" s="1">
        <v>1248</v>
      </c>
      <c r="C274" s="1" t="s">
        <v>46</v>
      </c>
      <c r="D274" s="1">
        <v>102</v>
      </c>
      <c r="E274" s="1" t="s">
        <v>82</v>
      </c>
      <c r="F274" s="1">
        <v>12</v>
      </c>
      <c r="G274" s="1">
        <v>1</v>
      </c>
      <c r="H274" s="9">
        <v>5597701773</v>
      </c>
      <c r="I274" s="9">
        <v>3954564322237</v>
      </c>
      <c r="J274" s="1">
        <v>100</v>
      </c>
      <c r="K274" s="1">
        <v>274</v>
      </c>
      <c r="L274" s="22">
        <v>39545643222370</v>
      </c>
    </row>
    <row r="275" spans="1:12" x14ac:dyDescent="0.3">
      <c r="A275" s="12">
        <v>274</v>
      </c>
      <c r="B275" s="1">
        <v>1249</v>
      </c>
      <c r="C275" s="1" t="s">
        <v>46</v>
      </c>
      <c r="D275" s="1">
        <v>102</v>
      </c>
      <c r="E275" s="1" t="s">
        <v>82</v>
      </c>
      <c r="F275" s="1">
        <v>12</v>
      </c>
      <c r="G275" s="1">
        <v>1</v>
      </c>
      <c r="H275" s="9">
        <v>5680597011</v>
      </c>
      <c r="I275" s="9">
        <v>4142932125880</v>
      </c>
      <c r="J275" s="1">
        <v>100</v>
      </c>
      <c r="K275" s="1">
        <v>275</v>
      </c>
      <c r="L275" s="22">
        <v>41429321258800</v>
      </c>
    </row>
    <row r="276" spans="1:12" x14ac:dyDescent="0.3">
      <c r="A276" s="12">
        <v>275</v>
      </c>
      <c r="B276" s="1">
        <v>1250</v>
      </c>
      <c r="C276" s="1" t="s">
        <v>46</v>
      </c>
      <c r="D276" s="1">
        <v>102</v>
      </c>
      <c r="E276" s="1" t="s">
        <v>82</v>
      </c>
      <c r="F276" s="1">
        <v>12</v>
      </c>
      <c r="G276" s="1">
        <v>1</v>
      </c>
      <c r="H276" s="9">
        <v>5764331100</v>
      </c>
      <c r="I276" s="9">
        <v>4340156865000</v>
      </c>
      <c r="J276" s="1">
        <v>100</v>
      </c>
      <c r="K276" s="1">
        <v>276</v>
      </c>
      <c r="L276" s="22">
        <v>43401568650000</v>
      </c>
    </row>
    <row r="277" spans="1:12" x14ac:dyDescent="0.3">
      <c r="A277" s="12">
        <v>276</v>
      </c>
      <c r="B277" s="1">
        <v>1251</v>
      </c>
      <c r="C277" s="1" t="s">
        <v>46</v>
      </c>
      <c r="D277" s="1">
        <v>102</v>
      </c>
      <c r="E277" s="1" t="s">
        <v>82</v>
      </c>
      <c r="F277" s="1">
        <v>12</v>
      </c>
      <c r="G277" s="1">
        <v>1</v>
      </c>
      <c r="H277" s="9">
        <v>5848986767</v>
      </c>
      <c r="I277" s="9">
        <v>4546650194012</v>
      </c>
      <c r="J277" s="1">
        <v>100</v>
      </c>
      <c r="K277" s="1">
        <v>277</v>
      </c>
      <c r="L277" s="22">
        <v>45466501940120</v>
      </c>
    </row>
    <row r="278" spans="1:12" x14ac:dyDescent="0.3">
      <c r="A278" s="12">
        <v>277</v>
      </c>
      <c r="B278" s="1">
        <v>1252</v>
      </c>
      <c r="C278" s="1" t="s">
        <v>46</v>
      </c>
      <c r="D278" s="1">
        <v>102</v>
      </c>
      <c r="E278" s="1" t="s">
        <v>82</v>
      </c>
      <c r="F278" s="1">
        <v>12</v>
      </c>
      <c r="G278" s="1">
        <v>1</v>
      </c>
      <c r="H278" s="9">
        <v>5934570744</v>
      </c>
      <c r="I278" s="9">
        <v>4762842938718</v>
      </c>
      <c r="J278" s="1">
        <v>100</v>
      </c>
      <c r="K278" s="1">
        <v>278</v>
      </c>
      <c r="L278" s="22">
        <v>47628429387180</v>
      </c>
    </row>
    <row r="279" spans="1:12" x14ac:dyDescent="0.3">
      <c r="A279" s="12">
        <v>278</v>
      </c>
      <c r="B279" s="1">
        <v>1253</v>
      </c>
      <c r="C279" s="1" t="s">
        <v>46</v>
      </c>
      <c r="D279" s="1">
        <v>102</v>
      </c>
      <c r="E279" s="1" t="s">
        <v>82</v>
      </c>
      <c r="F279" s="1">
        <v>12</v>
      </c>
      <c r="G279" s="1">
        <v>1</v>
      </c>
      <c r="H279" s="9">
        <v>6021089788</v>
      </c>
      <c r="I279" s="9">
        <v>4989185549146</v>
      </c>
      <c r="J279" s="1">
        <v>100</v>
      </c>
      <c r="K279" s="1">
        <v>279</v>
      </c>
      <c r="L279" s="22">
        <v>49891855491460</v>
      </c>
    </row>
    <row r="280" spans="1:12" x14ac:dyDescent="0.3">
      <c r="A280" s="12">
        <v>279</v>
      </c>
      <c r="B280" s="1">
        <v>1254</v>
      </c>
      <c r="C280" s="1" t="s">
        <v>46</v>
      </c>
      <c r="D280" s="1">
        <v>102</v>
      </c>
      <c r="E280" s="1" t="s">
        <v>82</v>
      </c>
      <c r="F280" s="1">
        <v>12</v>
      </c>
      <c r="G280" s="1">
        <v>1</v>
      </c>
      <c r="H280" s="9">
        <v>6108630077</v>
      </c>
      <c r="I280" s="9">
        <v>5226149271127</v>
      </c>
      <c r="J280" s="1">
        <v>100</v>
      </c>
      <c r="K280" s="1">
        <v>280</v>
      </c>
      <c r="L280" s="22">
        <v>52261492711270</v>
      </c>
    </row>
    <row r="281" spans="1:12" x14ac:dyDescent="0.3">
      <c r="A281" s="13">
        <v>280</v>
      </c>
      <c r="B281" s="14">
        <v>1255</v>
      </c>
      <c r="C281" s="14" t="s">
        <v>145</v>
      </c>
      <c r="D281" s="14">
        <v>102</v>
      </c>
      <c r="E281" s="14" t="s">
        <v>82</v>
      </c>
      <c r="F281" s="1">
        <v>1</v>
      </c>
      <c r="G281" s="1">
        <v>999</v>
      </c>
      <c r="H281" s="15">
        <f>H282*0.9</f>
        <v>5657765211.9000006</v>
      </c>
      <c r="I281" s="15">
        <f>5474227112928*10</f>
        <v>54742271129280</v>
      </c>
      <c r="J281" s="14">
        <v>1</v>
      </c>
      <c r="K281" s="14">
        <v>281</v>
      </c>
      <c r="L281" s="22">
        <v>547422711292800</v>
      </c>
    </row>
    <row r="282" spans="1:12" x14ac:dyDescent="0.3">
      <c r="A282" s="12">
        <v>281</v>
      </c>
      <c r="B282" s="1">
        <v>1256</v>
      </c>
      <c r="C282" s="1" t="s">
        <v>176</v>
      </c>
      <c r="D282" s="1">
        <v>103</v>
      </c>
      <c r="E282" s="1" t="s">
        <v>82</v>
      </c>
      <c r="F282" s="1">
        <v>12</v>
      </c>
      <c r="G282" s="1">
        <v>1</v>
      </c>
      <c r="H282" s="9">
        <v>6286405791</v>
      </c>
      <c r="I282" s="9">
        <v>5733934514754</v>
      </c>
      <c r="J282" s="1">
        <v>100</v>
      </c>
      <c r="K282" s="1">
        <v>282</v>
      </c>
      <c r="L282" s="22">
        <v>57339345147540</v>
      </c>
    </row>
    <row r="283" spans="1:12" x14ac:dyDescent="0.3">
      <c r="A283" s="12">
        <v>282</v>
      </c>
      <c r="B283" s="1">
        <v>1257</v>
      </c>
      <c r="C283" s="1" t="s">
        <v>46</v>
      </c>
      <c r="D283" s="1">
        <v>103</v>
      </c>
      <c r="E283" s="1" t="s">
        <v>82</v>
      </c>
      <c r="F283" s="1">
        <v>12</v>
      </c>
      <c r="G283" s="1">
        <v>1</v>
      </c>
      <c r="H283" s="9">
        <v>6376733730</v>
      </c>
      <c r="I283" s="9">
        <v>6005810840912</v>
      </c>
      <c r="J283" s="1">
        <v>100</v>
      </c>
      <c r="K283" s="1">
        <v>283</v>
      </c>
      <c r="L283" s="22">
        <v>60058108409120</v>
      </c>
    </row>
    <row r="284" spans="1:12" x14ac:dyDescent="0.3">
      <c r="A284" s="12">
        <v>283</v>
      </c>
      <c r="B284" s="1">
        <v>1258</v>
      </c>
      <c r="C284" s="1" t="s">
        <v>46</v>
      </c>
      <c r="D284" s="1">
        <v>103</v>
      </c>
      <c r="E284" s="1" t="s">
        <v>82</v>
      </c>
      <c r="F284" s="1">
        <v>12</v>
      </c>
      <c r="G284" s="1">
        <v>1</v>
      </c>
      <c r="H284" s="9">
        <v>6468112578</v>
      </c>
      <c r="I284" s="9">
        <v>6290420019545</v>
      </c>
      <c r="J284" s="1">
        <v>100</v>
      </c>
      <c r="K284" s="1">
        <v>284</v>
      </c>
      <c r="L284" s="22">
        <v>62904200195450</v>
      </c>
    </row>
    <row r="285" spans="1:12" x14ac:dyDescent="0.3">
      <c r="A285" s="12">
        <v>284</v>
      </c>
      <c r="B285" s="1">
        <v>1259</v>
      </c>
      <c r="C285" s="1" t="s">
        <v>46</v>
      </c>
      <c r="D285" s="1">
        <v>103</v>
      </c>
      <c r="E285" s="1" t="s">
        <v>82</v>
      </c>
      <c r="F285" s="1">
        <v>12</v>
      </c>
      <c r="G285" s="1">
        <v>1</v>
      </c>
      <c r="H285" s="9">
        <v>6560386436</v>
      </c>
      <c r="I285" s="9">
        <v>6588352013583</v>
      </c>
      <c r="J285" s="1">
        <v>100</v>
      </c>
      <c r="K285" s="1">
        <v>285</v>
      </c>
      <c r="L285" s="22">
        <v>65883520135830</v>
      </c>
    </row>
    <row r="286" spans="1:12" x14ac:dyDescent="0.3">
      <c r="A286" s="12">
        <v>285</v>
      </c>
      <c r="B286" s="1">
        <v>1260</v>
      </c>
      <c r="C286" s="1" t="s">
        <v>46</v>
      </c>
      <c r="D286" s="1">
        <v>103</v>
      </c>
      <c r="E286" s="1" t="s">
        <v>82</v>
      </c>
      <c r="F286" s="1">
        <v>12</v>
      </c>
      <c r="G286" s="1">
        <v>1</v>
      </c>
      <c r="H286" s="9">
        <v>6653726194</v>
      </c>
      <c r="I286" s="9">
        <v>6900223837977</v>
      </c>
      <c r="J286" s="1">
        <v>100</v>
      </c>
      <c r="K286" s="1">
        <v>286</v>
      </c>
      <c r="L286" s="22">
        <v>69002238379770</v>
      </c>
    </row>
    <row r="287" spans="1:12" x14ac:dyDescent="0.3">
      <c r="A287" s="12">
        <v>286</v>
      </c>
      <c r="B287" s="1">
        <v>1261</v>
      </c>
      <c r="C287" s="1" t="s">
        <v>46</v>
      </c>
      <c r="D287" s="1">
        <v>103</v>
      </c>
      <c r="E287" s="1" t="s">
        <v>82</v>
      </c>
      <c r="F287" s="1">
        <v>12</v>
      </c>
      <c r="G287" s="1">
        <v>1</v>
      </c>
      <c r="H287" s="9">
        <v>6747973689</v>
      </c>
      <c r="I287" s="9">
        <v>7226680683256</v>
      </c>
      <c r="J287" s="1">
        <v>100</v>
      </c>
      <c r="K287" s="1">
        <v>287</v>
      </c>
      <c r="L287" s="22">
        <v>72266806832560</v>
      </c>
    </row>
    <row r="288" spans="1:12" x14ac:dyDescent="0.3">
      <c r="A288" s="12">
        <v>287</v>
      </c>
      <c r="B288" s="1">
        <v>1262</v>
      </c>
      <c r="C288" s="1" t="s">
        <v>46</v>
      </c>
      <c r="D288" s="1">
        <v>103</v>
      </c>
      <c r="E288" s="1" t="s">
        <v>82</v>
      </c>
      <c r="F288" s="1">
        <v>12</v>
      </c>
      <c r="G288" s="1">
        <v>1</v>
      </c>
      <c r="H288" s="9">
        <v>6843218167</v>
      </c>
      <c r="I288" s="9">
        <v>7568397485777</v>
      </c>
      <c r="J288" s="1">
        <v>100</v>
      </c>
      <c r="K288" s="1">
        <v>288</v>
      </c>
      <c r="L288" s="22">
        <v>75683974857770</v>
      </c>
    </row>
    <row r="289" spans="1:12" x14ac:dyDescent="0.3">
      <c r="A289" s="12">
        <v>288</v>
      </c>
      <c r="B289" s="1">
        <v>1263</v>
      </c>
      <c r="C289" s="1" t="s">
        <v>46</v>
      </c>
      <c r="D289" s="1">
        <v>103</v>
      </c>
      <c r="E289" s="1" t="s">
        <v>82</v>
      </c>
      <c r="F289" s="1">
        <v>12</v>
      </c>
      <c r="G289" s="1">
        <v>1</v>
      </c>
      <c r="H289" s="9">
        <v>6939551232</v>
      </c>
      <c r="I289" s="9">
        <v>7926080119418</v>
      </c>
      <c r="J289" s="1">
        <v>100</v>
      </c>
      <c r="K289" s="1">
        <v>289</v>
      </c>
      <c r="L289" s="22">
        <v>79260801194180</v>
      </c>
    </row>
    <row r="290" spans="1:12" x14ac:dyDescent="0.3">
      <c r="A290" s="12">
        <v>289</v>
      </c>
      <c r="B290" s="1">
        <v>1264</v>
      </c>
      <c r="C290" s="1" t="s">
        <v>46</v>
      </c>
      <c r="D290" s="1">
        <v>103</v>
      </c>
      <c r="E290" s="1" t="s">
        <v>82</v>
      </c>
      <c r="F290" s="1">
        <v>12</v>
      </c>
      <c r="G290" s="1">
        <v>1</v>
      </c>
      <c r="H290" s="9">
        <v>7036811292</v>
      </c>
      <c r="I290" s="9">
        <v>8300466699744</v>
      </c>
      <c r="J290" s="1">
        <v>100</v>
      </c>
      <c r="K290" s="1">
        <v>290</v>
      </c>
      <c r="L290" s="22">
        <v>83004666997440</v>
      </c>
    </row>
    <row r="291" spans="1:12" x14ac:dyDescent="0.3">
      <c r="A291" s="12">
        <v>290</v>
      </c>
      <c r="B291" s="1">
        <v>1265</v>
      </c>
      <c r="C291" s="1" t="s">
        <v>46</v>
      </c>
      <c r="D291" s="1">
        <v>103</v>
      </c>
      <c r="E291" s="1" t="s">
        <v>82</v>
      </c>
      <c r="F291" s="1">
        <v>12</v>
      </c>
      <c r="G291" s="1">
        <v>1</v>
      </c>
      <c r="H291" s="9">
        <v>7135175196</v>
      </c>
      <c r="I291" s="9">
        <v>8692329176592</v>
      </c>
      <c r="J291" s="1">
        <v>100</v>
      </c>
      <c r="K291" s="1">
        <v>291</v>
      </c>
      <c r="L291" s="22">
        <v>86923291765920</v>
      </c>
    </row>
    <row r="292" spans="1:12" x14ac:dyDescent="0.3">
      <c r="A292" s="12">
        <v>291</v>
      </c>
      <c r="B292" s="1">
        <v>1266</v>
      </c>
      <c r="C292" s="1" t="s">
        <v>46</v>
      </c>
      <c r="D292" s="1">
        <v>103</v>
      </c>
      <c r="E292" s="1" t="s">
        <v>82</v>
      </c>
      <c r="F292" s="1">
        <v>12</v>
      </c>
      <c r="G292" s="1">
        <v>1</v>
      </c>
      <c r="H292" s="9">
        <v>7234565421</v>
      </c>
      <c r="I292" s="9">
        <v>9102474882328</v>
      </c>
      <c r="J292" s="1">
        <v>100</v>
      </c>
      <c r="K292" s="1">
        <v>292</v>
      </c>
      <c r="L292" s="22">
        <v>91024748823280</v>
      </c>
    </row>
    <row r="293" spans="1:12" x14ac:dyDescent="0.3">
      <c r="A293" s="12">
        <v>292</v>
      </c>
      <c r="B293" s="1">
        <v>1267</v>
      </c>
      <c r="C293" s="1" t="s">
        <v>46</v>
      </c>
      <c r="D293" s="1">
        <v>103</v>
      </c>
      <c r="E293" s="1" t="s">
        <v>82</v>
      </c>
      <c r="F293" s="1">
        <v>12</v>
      </c>
      <c r="G293" s="1">
        <v>1</v>
      </c>
      <c r="H293" s="9">
        <v>7334902105</v>
      </c>
      <c r="I293" s="9">
        <v>9531748032044</v>
      </c>
      <c r="J293" s="1">
        <v>100</v>
      </c>
      <c r="K293" s="1">
        <v>293</v>
      </c>
      <c r="L293" s="22">
        <v>95317480320440</v>
      </c>
    </row>
    <row r="294" spans="1:12" x14ac:dyDescent="0.3">
      <c r="A294" s="12">
        <v>293</v>
      </c>
      <c r="B294" s="1">
        <v>1268</v>
      </c>
      <c r="C294" s="1" t="s">
        <v>46</v>
      </c>
      <c r="D294" s="1">
        <v>103</v>
      </c>
      <c r="E294" s="1" t="s">
        <v>82</v>
      </c>
      <c r="F294" s="1">
        <v>12</v>
      </c>
      <c r="G294" s="1">
        <v>1</v>
      </c>
      <c r="H294" s="9">
        <v>7436365719</v>
      </c>
      <c r="I294" s="9">
        <v>9981031609718</v>
      </c>
      <c r="J294" s="1">
        <v>100</v>
      </c>
      <c r="K294" s="1">
        <v>294</v>
      </c>
      <c r="L294" s="22">
        <v>99810316097180</v>
      </c>
    </row>
    <row r="295" spans="1:12" x14ac:dyDescent="0.3">
      <c r="A295" s="12">
        <v>294</v>
      </c>
      <c r="B295" s="1">
        <v>1269</v>
      </c>
      <c r="C295" s="1" t="s">
        <v>46</v>
      </c>
      <c r="D295" s="1">
        <v>103</v>
      </c>
      <c r="E295" s="1" t="s">
        <v>82</v>
      </c>
      <c r="F295" s="1">
        <v>12</v>
      </c>
      <c r="G295" s="1">
        <v>1</v>
      </c>
      <c r="H295" s="9">
        <v>7538788877</v>
      </c>
      <c r="I295" s="9">
        <v>10451248952150</v>
      </c>
      <c r="J295" s="1">
        <v>100</v>
      </c>
      <c r="K295" s="1">
        <v>295</v>
      </c>
      <c r="L295" s="22">
        <v>104512489521500</v>
      </c>
    </row>
    <row r="296" spans="1:12" x14ac:dyDescent="0.3">
      <c r="A296" s="12">
        <v>295</v>
      </c>
      <c r="B296" s="1">
        <v>1270</v>
      </c>
      <c r="C296" s="1" t="s">
        <v>46</v>
      </c>
      <c r="D296" s="1">
        <v>103</v>
      </c>
      <c r="E296" s="1" t="s">
        <v>82</v>
      </c>
      <c r="F296" s="1">
        <v>12</v>
      </c>
      <c r="G296" s="1">
        <v>1</v>
      </c>
      <c r="H296" s="9">
        <v>7642354488</v>
      </c>
      <c r="I296" s="9">
        <v>10943365546938</v>
      </c>
      <c r="J296" s="1">
        <v>100</v>
      </c>
      <c r="K296" s="1">
        <v>296</v>
      </c>
      <c r="L296" s="22">
        <v>109433655469380</v>
      </c>
    </row>
    <row r="297" spans="1:12" x14ac:dyDescent="0.3">
      <c r="A297" s="12">
        <v>296</v>
      </c>
      <c r="B297" s="1">
        <v>1271</v>
      </c>
      <c r="C297" s="1" t="s">
        <v>46</v>
      </c>
      <c r="D297" s="1">
        <v>103</v>
      </c>
      <c r="E297" s="1" t="s">
        <v>82</v>
      </c>
      <c r="F297" s="1">
        <v>12</v>
      </c>
      <c r="G297" s="1">
        <v>1</v>
      </c>
      <c r="H297" s="9">
        <v>7746982187</v>
      </c>
      <c r="I297" s="9">
        <v>11458390963921</v>
      </c>
      <c r="J297" s="1">
        <v>100</v>
      </c>
      <c r="K297" s="1">
        <v>297</v>
      </c>
      <c r="L297" s="22">
        <v>114583909639210</v>
      </c>
    </row>
    <row r="298" spans="1:12" x14ac:dyDescent="0.3">
      <c r="A298" s="12">
        <v>297</v>
      </c>
      <c r="B298" s="1">
        <v>1272</v>
      </c>
      <c r="C298" s="1" t="s">
        <v>46</v>
      </c>
      <c r="D298" s="1">
        <v>103</v>
      </c>
      <c r="E298" s="1" t="s">
        <v>82</v>
      </c>
      <c r="F298" s="1">
        <v>12</v>
      </c>
      <c r="G298" s="1">
        <v>1</v>
      </c>
      <c r="H298" s="9">
        <v>7852679204</v>
      </c>
      <c r="I298" s="9">
        <v>11997381104697</v>
      </c>
      <c r="J298" s="1">
        <v>100</v>
      </c>
      <c r="K298" s="1">
        <v>298</v>
      </c>
      <c r="L298" s="22">
        <v>119973811046970</v>
      </c>
    </row>
    <row r="299" spans="1:12" x14ac:dyDescent="0.3">
      <c r="A299" s="12">
        <v>298</v>
      </c>
      <c r="B299" s="1">
        <v>1273</v>
      </c>
      <c r="C299" s="1" t="s">
        <v>46</v>
      </c>
      <c r="D299" s="1">
        <v>103</v>
      </c>
      <c r="E299" s="1" t="s">
        <v>82</v>
      </c>
      <c r="F299" s="1">
        <v>12</v>
      </c>
      <c r="G299" s="1">
        <v>1</v>
      </c>
      <c r="H299" s="9">
        <v>7959362209</v>
      </c>
      <c r="I299" s="9">
        <v>12561439877618</v>
      </c>
      <c r="J299" s="1">
        <v>100</v>
      </c>
      <c r="K299" s="1">
        <v>299</v>
      </c>
      <c r="L299" s="22">
        <v>125614398776180</v>
      </c>
    </row>
    <row r="300" spans="1:12" x14ac:dyDescent="0.3">
      <c r="A300" s="12">
        <v>299</v>
      </c>
      <c r="B300" s="1">
        <v>1274</v>
      </c>
      <c r="C300" s="1" t="s">
        <v>46</v>
      </c>
      <c r="D300" s="1">
        <v>103</v>
      </c>
      <c r="E300" s="1" t="s">
        <v>82</v>
      </c>
      <c r="F300" s="1">
        <v>12</v>
      </c>
      <c r="G300" s="1">
        <v>1</v>
      </c>
      <c r="H300" s="9">
        <v>8067219032</v>
      </c>
      <c r="I300" s="9">
        <v>13151721819256</v>
      </c>
      <c r="J300" s="1">
        <v>100</v>
      </c>
      <c r="K300" s="1">
        <v>300</v>
      </c>
      <c r="L300" s="22">
        <v>131517218192560</v>
      </c>
    </row>
    <row r="301" spans="1:12" x14ac:dyDescent="0.3">
      <c r="A301" s="13">
        <v>300</v>
      </c>
      <c r="B301" s="14">
        <v>1275</v>
      </c>
      <c r="C301" s="14" t="s">
        <v>149</v>
      </c>
      <c r="D301" s="14">
        <v>103</v>
      </c>
      <c r="E301" s="14" t="s">
        <v>82</v>
      </c>
      <c r="F301" s="1">
        <v>1</v>
      </c>
      <c r="G301" s="1">
        <v>999</v>
      </c>
      <c r="H301" s="15">
        <f>H302*0.9</f>
        <v>7457592094.1999998</v>
      </c>
      <c r="I301" s="15">
        <f>13769433961200*10</f>
        <v>137694339612000</v>
      </c>
      <c r="J301" s="14">
        <v>1</v>
      </c>
      <c r="K301" s="14">
        <v>301</v>
      </c>
      <c r="L301" s="22">
        <v>1376943396120000</v>
      </c>
    </row>
    <row r="302" spans="1:12" x14ac:dyDescent="0.3">
      <c r="A302" s="12">
        <v>301</v>
      </c>
      <c r="B302" s="1">
        <v>1276</v>
      </c>
      <c r="C302" s="1" t="s">
        <v>176</v>
      </c>
      <c r="D302" s="1">
        <v>104</v>
      </c>
      <c r="E302" s="1" t="s">
        <v>82</v>
      </c>
      <c r="F302" s="1">
        <v>12</v>
      </c>
      <c r="G302" s="1">
        <v>1</v>
      </c>
      <c r="H302" s="9">
        <v>8286213438</v>
      </c>
      <c r="I302" s="9">
        <v>14415838567715</v>
      </c>
      <c r="J302" s="1">
        <v>100</v>
      </c>
      <c r="K302" s="1">
        <v>302</v>
      </c>
      <c r="L302" s="22">
        <v>144158385677150</v>
      </c>
    </row>
  </sheetData>
  <autoFilter ref="A1:K302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04"/>
  <sheetViews>
    <sheetView workbookViewId="0">
      <pane ySplit="1" topLeftCell="A2" activePane="bottomLeft" state="frozen"/>
      <selection pane="bottomLeft" activeCell="J6" sqref="J6"/>
    </sheetView>
  </sheetViews>
  <sheetFormatPr defaultRowHeight="16.5" x14ac:dyDescent="0.3"/>
  <cols>
    <col min="2" max="2" width="6.75" bestFit="1" customWidth="1"/>
    <col min="3" max="3" width="12.75" bestFit="1" customWidth="1"/>
    <col min="4" max="4" width="14.375" bestFit="1" customWidth="1"/>
    <col min="5" max="5" width="8.25" bestFit="1" customWidth="1"/>
    <col min="6" max="6" width="9.25" bestFit="1" customWidth="1"/>
    <col min="7" max="7" width="18.125" bestFit="1" customWidth="1"/>
    <col min="8" max="8" width="20.25" bestFit="1" customWidth="1"/>
    <col min="9" max="9" width="14.5" bestFit="1" customWidth="1"/>
    <col min="10" max="10" width="16.75" bestFit="1" customWidth="1"/>
    <col min="11" max="11" width="19.375" bestFit="1" customWidth="1"/>
  </cols>
  <sheetData>
    <row r="1" spans="2:11" x14ac:dyDescent="0.3">
      <c r="B1" s="7" t="s">
        <v>138</v>
      </c>
      <c r="C1" s="7" t="s">
        <v>139</v>
      </c>
      <c r="D1" s="7" t="s">
        <v>139</v>
      </c>
      <c r="E1" s="7" t="s">
        <v>140</v>
      </c>
      <c r="F1" s="7" t="s">
        <v>140</v>
      </c>
      <c r="G1" s="8" t="s">
        <v>141</v>
      </c>
      <c r="H1" s="8" t="s">
        <v>142</v>
      </c>
      <c r="I1" s="8" t="s">
        <v>143</v>
      </c>
      <c r="J1" s="8" t="s">
        <v>144</v>
      </c>
    </row>
    <row r="2" spans="2:11" x14ac:dyDescent="0.3">
      <c r="B2" s="9">
        <v>1</v>
      </c>
      <c r="C2" s="9">
        <v>20</v>
      </c>
      <c r="D2" s="9">
        <v>200</v>
      </c>
      <c r="E2" s="9">
        <v>1</v>
      </c>
      <c r="F2" s="9">
        <v>5</v>
      </c>
      <c r="G2" s="9">
        <f>C2*$B2*($B2*3)</f>
        <v>60</v>
      </c>
      <c r="H2" s="9">
        <v>200</v>
      </c>
      <c r="I2" s="9">
        <f t="shared" ref="H2:I3" si="0">E2*$B2*($B2*3)</f>
        <v>3</v>
      </c>
      <c r="J2" s="9">
        <f>F2*$B2*($B2*3)</f>
        <v>15</v>
      </c>
    </row>
    <row r="3" spans="2:11" x14ac:dyDescent="0.3">
      <c r="B3" s="9">
        <v>2</v>
      </c>
      <c r="C3" s="9">
        <v>28</v>
      </c>
      <c r="D3" s="9">
        <v>280</v>
      </c>
      <c r="E3" s="9">
        <v>2</v>
      </c>
      <c r="F3" s="9">
        <v>7</v>
      </c>
      <c r="G3" s="9">
        <f>C3*$B3*($B3*3)</f>
        <v>336</v>
      </c>
      <c r="H3" s="9">
        <f t="shared" si="0"/>
        <v>3360</v>
      </c>
      <c r="I3" s="9">
        <f t="shared" si="0"/>
        <v>24</v>
      </c>
      <c r="J3" s="9">
        <f>F3*$B3*($B3*3)</f>
        <v>84</v>
      </c>
      <c r="K3" s="22">
        <f>G3*2</f>
        <v>672</v>
      </c>
    </row>
    <row r="4" spans="2:11" x14ac:dyDescent="0.3">
      <c r="B4" s="9">
        <v>3</v>
      </c>
      <c r="C4" s="9">
        <v>42</v>
      </c>
      <c r="D4" s="9">
        <v>420</v>
      </c>
      <c r="E4" s="9">
        <v>2</v>
      </c>
      <c r="F4" s="9">
        <v>10</v>
      </c>
      <c r="G4" s="9">
        <f t="shared" ref="G4:G67" si="1">C4*$B4*($B4*3)</f>
        <v>1134</v>
      </c>
      <c r="H4" s="9">
        <f t="shared" ref="H4:H67" si="2">D4*$B4*($B4*3)</f>
        <v>11340</v>
      </c>
      <c r="I4" s="9">
        <f t="shared" ref="I4:I67" si="3">E4*$B4*($B4*3)</f>
        <v>54</v>
      </c>
      <c r="J4" s="9">
        <f t="shared" ref="J4:J67" si="4">F4*$B4*($B4*3)</f>
        <v>270</v>
      </c>
      <c r="K4" s="22">
        <f t="shared" ref="K4:K67" si="5">G4*2</f>
        <v>2268</v>
      </c>
    </row>
    <row r="5" spans="2:11" x14ac:dyDescent="0.3">
      <c r="B5" s="9">
        <v>4</v>
      </c>
      <c r="C5" s="9">
        <v>67</v>
      </c>
      <c r="D5" s="9">
        <v>670</v>
      </c>
      <c r="E5" s="9">
        <v>3</v>
      </c>
      <c r="F5" s="9">
        <v>15</v>
      </c>
      <c r="G5" s="9">
        <f t="shared" si="1"/>
        <v>3216</v>
      </c>
      <c r="H5" s="9">
        <f t="shared" si="2"/>
        <v>32160</v>
      </c>
      <c r="I5" s="9">
        <f t="shared" si="3"/>
        <v>144</v>
      </c>
      <c r="J5" s="9">
        <f t="shared" si="4"/>
        <v>720</v>
      </c>
      <c r="K5" s="22">
        <f t="shared" si="5"/>
        <v>6432</v>
      </c>
    </row>
    <row r="6" spans="2:11" x14ac:dyDescent="0.3">
      <c r="B6" s="9">
        <v>5</v>
      </c>
      <c r="C6" s="9">
        <v>93</v>
      </c>
      <c r="D6" s="9">
        <v>930</v>
      </c>
      <c r="E6" s="9">
        <v>6</v>
      </c>
      <c r="F6" s="9">
        <v>30</v>
      </c>
      <c r="G6" s="9">
        <f t="shared" si="1"/>
        <v>6975</v>
      </c>
      <c r="H6" s="9">
        <f t="shared" si="2"/>
        <v>69750</v>
      </c>
      <c r="I6" s="9">
        <f t="shared" si="3"/>
        <v>450</v>
      </c>
      <c r="J6" s="9">
        <f t="shared" si="4"/>
        <v>2250</v>
      </c>
      <c r="K6" s="22">
        <f t="shared" si="5"/>
        <v>13950</v>
      </c>
    </row>
    <row r="7" spans="2:11" x14ac:dyDescent="0.3">
      <c r="B7" s="9">
        <v>6</v>
      </c>
      <c r="C7" s="9">
        <v>122</v>
      </c>
      <c r="D7" s="9">
        <v>1220</v>
      </c>
      <c r="E7" s="9">
        <v>9</v>
      </c>
      <c r="F7" s="9">
        <v>45</v>
      </c>
      <c r="G7" s="9">
        <f t="shared" si="1"/>
        <v>13176</v>
      </c>
      <c r="H7" s="9">
        <f t="shared" si="2"/>
        <v>131760</v>
      </c>
      <c r="I7" s="9">
        <f t="shared" si="3"/>
        <v>972</v>
      </c>
      <c r="J7" s="9">
        <f t="shared" si="4"/>
        <v>4860</v>
      </c>
      <c r="K7" s="22">
        <f t="shared" si="5"/>
        <v>26352</v>
      </c>
    </row>
    <row r="8" spans="2:11" x14ac:dyDescent="0.3">
      <c r="B8" s="9">
        <v>7</v>
      </c>
      <c r="C8" s="9">
        <v>154</v>
      </c>
      <c r="D8" s="9">
        <v>1540</v>
      </c>
      <c r="E8" s="9">
        <v>15</v>
      </c>
      <c r="F8" s="9">
        <v>75</v>
      </c>
      <c r="G8" s="9">
        <f t="shared" si="1"/>
        <v>22638</v>
      </c>
      <c r="H8" s="9">
        <f t="shared" si="2"/>
        <v>226380</v>
      </c>
      <c r="I8" s="9">
        <f t="shared" si="3"/>
        <v>2205</v>
      </c>
      <c r="J8" s="9">
        <f t="shared" si="4"/>
        <v>11025</v>
      </c>
      <c r="K8" s="22">
        <f t="shared" si="5"/>
        <v>45276</v>
      </c>
    </row>
    <row r="9" spans="2:11" x14ac:dyDescent="0.3">
      <c r="B9" s="9">
        <v>8</v>
      </c>
      <c r="C9" s="9">
        <v>189</v>
      </c>
      <c r="D9" s="9">
        <v>1890</v>
      </c>
      <c r="E9" s="9">
        <v>21</v>
      </c>
      <c r="F9" s="9">
        <v>105</v>
      </c>
      <c r="G9" s="9">
        <f t="shared" si="1"/>
        <v>36288</v>
      </c>
      <c r="H9" s="9">
        <f t="shared" si="2"/>
        <v>362880</v>
      </c>
      <c r="I9" s="9">
        <f t="shared" si="3"/>
        <v>4032</v>
      </c>
      <c r="J9" s="9">
        <f t="shared" si="4"/>
        <v>20160</v>
      </c>
      <c r="K9" s="22">
        <f t="shared" si="5"/>
        <v>72576</v>
      </c>
    </row>
    <row r="10" spans="2:11" x14ac:dyDescent="0.3">
      <c r="B10" s="9">
        <v>9</v>
      </c>
      <c r="C10" s="9">
        <v>226</v>
      </c>
      <c r="D10" s="9">
        <v>2260</v>
      </c>
      <c r="E10" s="9">
        <v>30</v>
      </c>
      <c r="F10" s="9">
        <v>150</v>
      </c>
      <c r="G10" s="9">
        <f t="shared" si="1"/>
        <v>54918</v>
      </c>
      <c r="H10" s="9">
        <f t="shared" si="2"/>
        <v>549180</v>
      </c>
      <c r="I10" s="9">
        <f t="shared" si="3"/>
        <v>7290</v>
      </c>
      <c r="J10" s="9">
        <f t="shared" si="4"/>
        <v>36450</v>
      </c>
      <c r="K10" s="22">
        <f t="shared" si="5"/>
        <v>109836</v>
      </c>
    </row>
    <row r="11" spans="2:11" x14ac:dyDescent="0.3">
      <c r="B11" s="9">
        <v>10</v>
      </c>
      <c r="C11" s="9">
        <v>268</v>
      </c>
      <c r="D11" s="9">
        <v>2680</v>
      </c>
      <c r="E11" s="9">
        <v>42</v>
      </c>
      <c r="F11" s="9">
        <v>210</v>
      </c>
      <c r="G11" s="9">
        <f t="shared" si="1"/>
        <v>80400</v>
      </c>
      <c r="H11" s="9">
        <f t="shared" si="2"/>
        <v>804000</v>
      </c>
      <c r="I11" s="9">
        <f t="shared" si="3"/>
        <v>12600</v>
      </c>
      <c r="J11" s="9">
        <f t="shared" si="4"/>
        <v>63000</v>
      </c>
      <c r="K11" s="22">
        <f t="shared" si="5"/>
        <v>160800</v>
      </c>
    </row>
    <row r="12" spans="2:11" x14ac:dyDescent="0.3">
      <c r="B12" s="9">
        <v>11</v>
      </c>
      <c r="C12" s="9">
        <v>312</v>
      </c>
      <c r="D12" s="9">
        <v>3120</v>
      </c>
      <c r="E12" s="9">
        <v>56</v>
      </c>
      <c r="F12" s="9">
        <v>280</v>
      </c>
      <c r="G12" s="9">
        <f t="shared" si="1"/>
        <v>113256</v>
      </c>
      <c r="H12" s="9">
        <f t="shared" si="2"/>
        <v>1132560</v>
      </c>
      <c r="I12" s="9">
        <f t="shared" si="3"/>
        <v>20328</v>
      </c>
      <c r="J12" s="9">
        <f t="shared" si="4"/>
        <v>101640</v>
      </c>
      <c r="K12" s="22">
        <f t="shared" si="5"/>
        <v>226512</v>
      </c>
    </row>
    <row r="13" spans="2:11" x14ac:dyDescent="0.3">
      <c r="B13" s="9">
        <v>12</v>
      </c>
      <c r="C13" s="9">
        <v>361</v>
      </c>
      <c r="D13" s="9">
        <v>3610</v>
      </c>
      <c r="E13" s="9">
        <v>73</v>
      </c>
      <c r="F13" s="9">
        <v>365</v>
      </c>
      <c r="G13" s="9">
        <f t="shared" si="1"/>
        <v>155952</v>
      </c>
      <c r="H13" s="9">
        <f t="shared" si="2"/>
        <v>1559520</v>
      </c>
      <c r="I13" s="9">
        <f t="shared" si="3"/>
        <v>31536</v>
      </c>
      <c r="J13" s="9">
        <f t="shared" si="4"/>
        <v>157680</v>
      </c>
      <c r="K13" s="22">
        <f t="shared" si="5"/>
        <v>311904</v>
      </c>
    </row>
    <row r="14" spans="2:11" x14ac:dyDescent="0.3">
      <c r="B14" s="9">
        <v>13</v>
      </c>
      <c r="C14" s="9">
        <v>413</v>
      </c>
      <c r="D14" s="9">
        <v>4130</v>
      </c>
      <c r="E14" s="9">
        <v>94</v>
      </c>
      <c r="F14" s="9">
        <v>470</v>
      </c>
      <c r="G14" s="9">
        <f t="shared" si="1"/>
        <v>209391</v>
      </c>
      <c r="H14" s="9">
        <f t="shared" si="2"/>
        <v>2093910</v>
      </c>
      <c r="I14" s="9">
        <f t="shared" si="3"/>
        <v>47658</v>
      </c>
      <c r="J14" s="9">
        <f t="shared" si="4"/>
        <v>238290</v>
      </c>
      <c r="K14" s="22">
        <f t="shared" si="5"/>
        <v>418782</v>
      </c>
    </row>
    <row r="15" spans="2:11" x14ac:dyDescent="0.3">
      <c r="B15" s="9">
        <v>14</v>
      </c>
      <c r="C15" s="9">
        <v>470</v>
      </c>
      <c r="D15" s="9">
        <v>4700</v>
      </c>
      <c r="E15" s="9">
        <v>118</v>
      </c>
      <c r="F15" s="9">
        <v>590</v>
      </c>
      <c r="G15" s="9">
        <f t="shared" si="1"/>
        <v>276360</v>
      </c>
      <c r="H15" s="9">
        <f t="shared" si="2"/>
        <v>2763600</v>
      </c>
      <c r="I15" s="9">
        <f t="shared" si="3"/>
        <v>69384</v>
      </c>
      <c r="J15" s="9">
        <f t="shared" si="4"/>
        <v>346920</v>
      </c>
      <c r="K15" s="22">
        <f t="shared" si="5"/>
        <v>552720</v>
      </c>
    </row>
    <row r="16" spans="2:11" x14ac:dyDescent="0.3">
      <c r="B16" s="9">
        <v>15</v>
      </c>
      <c r="C16" s="9">
        <v>532</v>
      </c>
      <c r="D16" s="9">
        <v>5320</v>
      </c>
      <c r="E16" s="9">
        <v>146</v>
      </c>
      <c r="F16" s="9">
        <v>730</v>
      </c>
      <c r="G16" s="9">
        <f t="shared" si="1"/>
        <v>359100</v>
      </c>
      <c r="H16" s="9">
        <f t="shared" si="2"/>
        <v>3591000</v>
      </c>
      <c r="I16" s="9">
        <f t="shared" si="3"/>
        <v>98550</v>
      </c>
      <c r="J16" s="9">
        <f t="shared" si="4"/>
        <v>492750</v>
      </c>
      <c r="K16" s="22">
        <f t="shared" si="5"/>
        <v>718200</v>
      </c>
    </row>
    <row r="17" spans="2:11" x14ac:dyDescent="0.3">
      <c r="B17" s="9">
        <v>16</v>
      </c>
      <c r="C17" s="9">
        <v>599</v>
      </c>
      <c r="D17" s="9">
        <v>5990</v>
      </c>
      <c r="E17" s="9">
        <v>178</v>
      </c>
      <c r="F17" s="9">
        <v>890</v>
      </c>
      <c r="G17" s="9">
        <f t="shared" si="1"/>
        <v>460032</v>
      </c>
      <c r="H17" s="9">
        <f t="shared" si="2"/>
        <v>4600320</v>
      </c>
      <c r="I17" s="9">
        <f t="shared" si="3"/>
        <v>136704</v>
      </c>
      <c r="J17" s="9">
        <f t="shared" si="4"/>
        <v>683520</v>
      </c>
      <c r="K17" s="22">
        <f t="shared" si="5"/>
        <v>920064</v>
      </c>
    </row>
    <row r="18" spans="2:11" x14ac:dyDescent="0.3">
      <c r="B18" s="9">
        <v>17</v>
      </c>
      <c r="C18" s="9">
        <v>671</v>
      </c>
      <c r="D18" s="9">
        <v>6710</v>
      </c>
      <c r="E18" s="9">
        <v>215</v>
      </c>
      <c r="F18" s="9">
        <v>1075</v>
      </c>
      <c r="G18" s="9">
        <f t="shared" si="1"/>
        <v>581757</v>
      </c>
      <c r="H18" s="9">
        <f t="shared" si="2"/>
        <v>5817570</v>
      </c>
      <c r="I18" s="9">
        <f t="shared" si="3"/>
        <v>186405</v>
      </c>
      <c r="J18" s="9">
        <f t="shared" si="4"/>
        <v>932025</v>
      </c>
      <c r="K18" s="22">
        <f t="shared" si="5"/>
        <v>1163514</v>
      </c>
    </row>
    <row r="19" spans="2:11" x14ac:dyDescent="0.3">
      <c r="B19" s="9">
        <v>18</v>
      </c>
      <c r="C19" s="9">
        <v>748</v>
      </c>
      <c r="D19" s="9">
        <v>7480</v>
      </c>
      <c r="E19" s="9">
        <v>256</v>
      </c>
      <c r="F19" s="9">
        <v>1280</v>
      </c>
      <c r="G19" s="9">
        <f t="shared" si="1"/>
        <v>727056</v>
      </c>
      <c r="H19" s="9">
        <f t="shared" si="2"/>
        <v>7270560</v>
      </c>
      <c r="I19" s="9">
        <f t="shared" si="3"/>
        <v>248832</v>
      </c>
      <c r="J19" s="9">
        <f t="shared" si="4"/>
        <v>1244160</v>
      </c>
      <c r="K19" s="22">
        <f t="shared" si="5"/>
        <v>1454112</v>
      </c>
    </row>
    <row r="20" spans="2:11" x14ac:dyDescent="0.3">
      <c r="B20" s="9">
        <v>19</v>
      </c>
      <c r="C20" s="9">
        <v>832</v>
      </c>
      <c r="D20" s="9">
        <v>8320</v>
      </c>
      <c r="E20" s="9">
        <v>303</v>
      </c>
      <c r="F20" s="9">
        <v>1515</v>
      </c>
      <c r="G20" s="9">
        <f t="shared" si="1"/>
        <v>901056</v>
      </c>
      <c r="H20" s="9">
        <f t="shared" si="2"/>
        <v>9010560</v>
      </c>
      <c r="I20" s="9">
        <f t="shared" si="3"/>
        <v>328149</v>
      </c>
      <c r="J20" s="9">
        <f t="shared" si="4"/>
        <v>1640745</v>
      </c>
      <c r="K20" s="22">
        <f t="shared" si="5"/>
        <v>1802112</v>
      </c>
    </row>
    <row r="21" spans="2:11" x14ac:dyDescent="0.3">
      <c r="B21" s="9">
        <v>20</v>
      </c>
      <c r="C21" s="9">
        <v>922</v>
      </c>
      <c r="D21" s="9">
        <v>9220</v>
      </c>
      <c r="E21" s="9">
        <v>355</v>
      </c>
      <c r="F21" s="9">
        <v>1775</v>
      </c>
      <c r="G21" s="9">
        <f t="shared" si="1"/>
        <v>1106400</v>
      </c>
      <c r="H21" s="9">
        <f t="shared" si="2"/>
        <v>11064000</v>
      </c>
      <c r="I21" s="9">
        <f t="shared" si="3"/>
        <v>426000</v>
      </c>
      <c r="J21" s="9">
        <f t="shared" si="4"/>
        <v>2130000</v>
      </c>
      <c r="K21" s="22">
        <f t="shared" si="5"/>
        <v>2212800</v>
      </c>
    </row>
    <row r="22" spans="2:11" x14ac:dyDescent="0.3">
      <c r="B22" s="15">
        <v>21</v>
      </c>
      <c r="C22" s="15">
        <v>1020</v>
      </c>
      <c r="D22" s="15">
        <v>10200</v>
      </c>
      <c r="E22" s="15">
        <v>413</v>
      </c>
      <c r="F22" s="15">
        <v>2065</v>
      </c>
      <c r="G22" s="9">
        <f t="shared" si="1"/>
        <v>1349460</v>
      </c>
      <c r="H22" s="9">
        <f t="shared" si="2"/>
        <v>13494600</v>
      </c>
      <c r="I22" s="9">
        <f t="shared" si="3"/>
        <v>546399</v>
      </c>
      <c r="J22" s="9">
        <f t="shared" si="4"/>
        <v>2731995</v>
      </c>
      <c r="K22" s="22">
        <f t="shared" si="5"/>
        <v>2698920</v>
      </c>
    </row>
    <row r="23" spans="2:11" x14ac:dyDescent="0.3">
      <c r="B23" s="9">
        <v>22</v>
      </c>
      <c r="C23" s="9">
        <v>1124</v>
      </c>
      <c r="D23" s="9">
        <v>11240</v>
      </c>
      <c r="E23" s="9">
        <v>454</v>
      </c>
      <c r="F23" s="9">
        <v>2270</v>
      </c>
      <c r="G23" s="9">
        <f t="shared" si="1"/>
        <v>1632048</v>
      </c>
      <c r="H23" s="9">
        <f t="shared" si="2"/>
        <v>16320480</v>
      </c>
      <c r="I23" s="9">
        <f t="shared" si="3"/>
        <v>659208</v>
      </c>
      <c r="J23" s="9">
        <f t="shared" si="4"/>
        <v>3296040</v>
      </c>
      <c r="K23" s="22">
        <f t="shared" si="5"/>
        <v>3264096</v>
      </c>
    </row>
    <row r="24" spans="2:11" x14ac:dyDescent="0.3">
      <c r="B24" s="9">
        <v>23</v>
      </c>
      <c r="C24" s="9">
        <v>1237</v>
      </c>
      <c r="D24" s="9">
        <v>12370</v>
      </c>
      <c r="E24" s="9">
        <v>497</v>
      </c>
      <c r="F24" s="9">
        <v>2485</v>
      </c>
      <c r="G24" s="9">
        <f t="shared" si="1"/>
        <v>1963119</v>
      </c>
      <c r="H24" s="9">
        <f t="shared" si="2"/>
        <v>19631190</v>
      </c>
      <c r="I24" s="9">
        <f t="shared" si="3"/>
        <v>788739</v>
      </c>
      <c r="J24" s="9">
        <f t="shared" si="4"/>
        <v>3943695</v>
      </c>
      <c r="K24" s="22">
        <f t="shared" si="5"/>
        <v>3926238</v>
      </c>
    </row>
    <row r="25" spans="2:11" x14ac:dyDescent="0.3">
      <c r="B25" s="9">
        <v>24</v>
      </c>
      <c r="C25" s="9">
        <v>1358</v>
      </c>
      <c r="D25" s="9">
        <v>13580</v>
      </c>
      <c r="E25" s="9">
        <v>542</v>
      </c>
      <c r="F25" s="9">
        <v>2710</v>
      </c>
      <c r="G25" s="9">
        <f t="shared" si="1"/>
        <v>2346624</v>
      </c>
      <c r="H25" s="9">
        <f t="shared" si="2"/>
        <v>23466240</v>
      </c>
      <c r="I25" s="9">
        <f t="shared" si="3"/>
        <v>936576</v>
      </c>
      <c r="J25" s="9">
        <f t="shared" si="4"/>
        <v>4682880</v>
      </c>
      <c r="K25" s="22">
        <f t="shared" si="5"/>
        <v>4693248</v>
      </c>
    </row>
    <row r="26" spans="2:11" x14ac:dyDescent="0.3">
      <c r="B26" s="9">
        <v>25</v>
      </c>
      <c r="C26" s="9">
        <v>1488</v>
      </c>
      <c r="D26" s="9">
        <v>14880</v>
      </c>
      <c r="E26" s="9">
        <v>590</v>
      </c>
      <c r="F26" s="9">
        <v>2950</v>
      </c>
      <c r="G26" s="9">
        <f t="shared" si="1"/>
        <v>2790000</v>
      </c>
      <c r="H26" s="9">
        <f t="shared" si="2"/>
        <v>27900000</v>
      </c>
      <c r="I26" s="9">
        <f t="shared" si="3"/>
        <v>1106250</v>
      </c>
      <c r="J26" s="9">
        <f t="shared" si="4"/>
        <v>5531250</v>
      </c>
      <c r="K26" s="22">
        <f t="shared" si="5"/>
        <v>5580000</v>
      </c>
    </row>
    <row r="27" spans="2:11" x14ac:dyDescent="0.3">
      <c r="B27" s="9">
        <v>26</v>
      </c>
      <c r="C27" s="9">
        <v>1628</v>
      </c>
      <c r="D27" s="9">
        <v>16280</v>
      </c>
      <c r="E27" s="9">
        <v>639</v>
      </c>
      <c r="F27" s="9">
        <v>3195</v>
      </c>
      <c r="G27" s="9">
        <f t="shared" si="1"/>
        <v>3301584</v>
      </c>
      <c r="H27" s="9">
        <f t="shared" si="2"/>
        <v>33015840</v>
      </c>
      <c r="I27" s="9">
        <f t="shared" si="3"/>
        <v>1295892</v>
      </c>
      <c r="J27" s="9">
        <f t="shared" si="4"/>
        <v>6479460</v>
      </c>
      <c r="K27" s="22">
        <f t="shared" si="5"/>
        <v>6603168</v>
      </c>
    </row>
    <row r="28" spans="2:11" x14ac:dyDescent="0.3">
      <c r="B28" s="9">
        <v>27</v>
      </c>
      <c r="C28" s="9">
        <v>1710</v>
      </c>
      <c r="D28" s="9">
        <v>17100</v>
      </c>
      <c r="E28" s="9">
        <v>690</v>
      </c>
      <c r="F28" s="9">
        <v>3450</v>
      </c>
      <c r="G28" s="9">
        <f t="shared" si="1"/>
        <v>3739770</v>
      </c>
      <c r="H28" s="9">
        <f t="shared" si="2"/>
        <v>37397700</v>
      </c>
      <c r="I28" s="9">
        <f t="shared" si="3"/>
        <v>1509030</v>
      </c>
      <c r="J28" s="9">
        <f t="shared" si="4"/>
        <v>7545150</v>
      </c>
      <c r="K28" s="22">
        <f t="shared" si="5"/>
        <v>7479540</v>
      </c>
    </row>
    <row r="29" spans="2:11" x14ac:dyDescent="0.3">
      <c r="B29" s="9">
        <v>28</v>
      </c>
      <c r="C29" s="9">
        <v>1796</v>
      </c>
      <c r="D29" s="9">
        <v>17960</v>
      </c>
      <c r="E29" s="9">
        <v>743</v>
      </c>
      <c r="F29" s="9">
        <v>3715</v>
      </c>
      <c r="G29" s="9">
        <f t="shared" si="1"/>
        <v>4224192</v>
      </c>
      <c r="H29" s="9">
        <f t="shared" si="2"/>
        <v>42241920</v>
      </c>
      <c r="I29" s="9">
        <f t="shared" si="3"/>
        <v>1747536</v>
      </c>
      <c r="J29" s="9">
        <f t="shared" si="4"/>
        <v>8737680</v>
      </c>
      <c r="K29" s="22">
        <f t="shared" si="5"/>
        <v>8448384</v>
      </c>
    </row>
    <row r="30" spans="2:11" x14ac:dyDescent="0.3">
      <c r="B30" s="9">
        <v>29</v>
      </c>
      <c r="C30" s="9">
        <v>1886</v>
      </c>
      <c r="D30" s="9">
        <v>18860</v>
      </c>
      <c r="E30" s="9">
        <v>798</v>
      </c>
      <c r="F30" s="9">
        <v>3990</v>
      </c>
      <c r="G30" s="9">
        <f t="shared" si="1"/>
        <v>4758378</v>
      </c>
      <c r="H30" s="9">
        <f t="shared" si="2"/>
        <v>47583780</v>
      </c>
      <c r="I30" s="9">
        <f t="shared" si="3"/>
        <v>2013354</v>
      </c>
      <c r="J30" s="9">
        <f t="shared" si="4"/>
        <v>10066770</v>
      </c>
      <c r="K30" s="22">
        <f t="shared" si="5"/>
        <v>9516756</v>
      </c>
    </row>
    <row r="31" spans="2:11" x14ac:dyDescent="0.3">
      <c r="B31" s="9">
        <v>30</v>
      </c>
      <c r="C31" s="9">
        <v>1981</v>
      </c>
      <c r="D31" s="9">
        <v>19810</v>
      </c>
      <c r="E31" s="9">
        <v>855</v>
      </c>
      <c r="F31" s="9">
        <v>4275</v>
      </c>
      <c r="G31" s="9">
        <f t="shared" si="1"/>
        <v>5348700</v>
      </c>
      <c r="H31" s="9">
        <f t="shared" si="2"/>
        <v>53487000</v>
      </c>
      <c r="I31" s="9">
        <f t="shared" si="3"/>
        <v>2308500</v>
      </c>
      <c r="J31" s="9">
        <f t="shared" si="4"/>
        <v>11542500</v>
      </c>
      <c r="K31" s="22">
        <f t="shared" si="5"/>
        <v>10697400</v>
      </c>
    </row>
    <row r="32" spans="2:11" x14ac:dyDescent="0.3">
      <c r="B32" s="9">
        <v>31</v>
      </c>
      <c r="C32" s="9">
        <v>2081</v>
      </c>
      <c r="D32" s="9">
        <v>20810</v>
      </c>
      <c r="E32" s="9">
        <v>914</v>
      </c>
      <c r="F32" s="9">
        <v>4570</v>
      </c>
      <c r="G32" s="9">
        <f t="shared" si="1"/>
        <v>5999523</v>
      </c>
      <c r="H32" s="9">
        <f t="shared" si="2"/>
        <v>59995230</v>
      </c>
      <c r="I32" s="9">
        <f t="shared" si="3"/>
        <v>2635062</v>
      </c>
      <c r="J32" s="9">
        <f t="shared" si="4"/>
        <v>13175310</v>
      </c>
      <c r="K32" s="22">
        <f t="shared" si="5"/>
        <v>11999046</v>
      </c>
    </row>
    <row r="33" spans="2:11" x14ac:dyDescent="0.3">
      <c r="B33" s="9">
        <v>32</v>
      </c>
      <c r="C33" s="9">
        <v>2186</v>
      </c>
      <c r="D33" s="9">
        <v>21860</v>
      </c>
      <c r="E33" s="9">
        <v>976</v>
      </c>
      <c r="F33" s="9">
        <v>4880</v>
      </c>
      <c r="G33" s="9">
        <f t="shared" si="1"/>
        <v>6715392</v>
      </c>
      <c r="H33" s="9">
        <f t="shared" si="2"/>
        <v>67153920</v>
      </c>
      <c r="I33" s="9">
        <f t="shared" si="3"/>
        <v>2998272</v>
      </c>
      <c r="J33" s="9">
        <f t="shared" si="4"/>
        <v>14991360</v>
      </c>
      <c r="K33" s="22">
        <f t="shared" si="5"/>
        <v>13430784</v>
      </c>
    </row>
    <row r="34" spans="2:11" x14ac:dyDescent="0.3">
      <c r="B34" s="9">
        <v>33</v>
      </c>
      <c r="C34" s="9">
        <v>2296</v>
      </c>
      <c r="D34" s="9">
        <v>22960</v>
      </c>
      <c r="E34" s="9">
        <v>1039</v>
      </c>
      <c r="F34" s="9">
        <v>5195</v>
      </c>
      <c r="G34" s="9">
        <f t="shared" si="1"/>
        <v>7501032</v>
      </c>
      <c r="H34" s="9">
        <f t="shared" si="2"/>
        <v>75010320</v>
      </c>
      <c r="I34" s="9">
        <f t="shared" si="3"/>
        <v>3394413</v>
      </c>
      <c r="J34" s="9">
        <f t="shared" si="4"/>
        <v>16972065</v>
      </c>
      <c r="K34" s="22">
        <f t="shared" si="5"/>
        <v>15002064</v>
      </c>
    </row>
    <row r="35" spans="2:11" x14ac:dyDescent="0.3">
      <c r="B35" s="9">
        <v>34</v>
      </c>
      <c r="C35" s="9">
        <v>2411</v>
      </c>
      <c r="D35" s="9">
        <v>24110</v>
      </c>
      <c r="E35" s="9">
        <v>1104</v>
      </c>
      <c r="F35" s="9">
        <v>5520</v>
      </c>
      <c r="G35" s="9">
        <f t="shared" si="1"/>
        <v>8361348</v>
      </c>
      <c r="H35" s="9">
        <f t="shared" si="2"/>
        <v>83613480</v>
      </c>
      <c r="I35" s="9">
        <f t="shared" si="3"/>
        <v>3828672</v>
      </c>
      <c r="J35" s="9">
        <f t="shared" si="4"/>
        <v>19143360</v>
      </c>
      <c r="K35" s="22">
        <f t="shared" si="5"/>
        <v>16722696</v>
      </c>
    </row>
    <row r="36" spans="2:11" x14ac:dyDescent="0.3">
      <c r="B36" s="9">
        <v>35</v>
      </c>
      <c r="C36" s="9">
        <v>2532</v>
      </c>
      <c r="D36" s="9">
        <v>25320</v>
      </c>
      <c r="E36" s="9">
        <v>1171</v>
      </c>
      <c r="F36" s="9">
        <v>5855</v>
      </c>
      <c r="G36" s="9">
        <f t="shared" si="1"/>
        <v>9305100</v>
      </c>
      <c r="H36" s="9">
        <f t="shared" si="2"/>
        <v>93051000</v>
      </c>
      <c r="I36" s="9">
        <f t="shared" si="3"/>
        <v>4303425</v>
      </c>
      <c r="J36" s="9">
        <f t="shared" si="4"/>
        <v>21517125</v>
      </c>
      <c r="K36" s="22">
        <f t="shared" si="5"/>
        <v>18610200</v>
      </c>
    </row>
    <row r="37" spans="2:11" x14ac:dyDescent="0.3">
      <c r="B37" s="9">
        <v>36</v>
      </c>
      <c r="C37" s="9">
        <v>2659</v>
      </c>
      <c r="D37" s="9">
        <v>26590</v>
      </c>
      <c r="E37" s="9">
        <v>1240</v>
      </c>
      <c r="F37" s="9">
        <v>6200</v>
      </c>
      <c r="G37" s="9">
        <f t="shared" si="1"/>
        <v>10338192</v>
      </c>
      <c r="H37" s="9">
        <f t="shared" si="2"/>
        <v>103381920</v>
      </c>
      <c r="I37" s="9">
        <f t="shared" si="3"/>
        <v>4821120</v>
      </c>
      <c r="J37" s="9">
        <f t="shared" si="4"/>
        <v>24105600</v>
      </c>
      <c r="K37" s="22">
        <f t="shared" si="5"/>
        <v>20676384</v>
      </c>
    </row>
    <row r="38" spans="2:11" x14ac:dyDescent="0.3">
      <c r="B38" s="9">
        <v>37</v>
      </c>
      <c r="C38" s="9">
        <v>2792</v>
      </c>
      <c r="D38" s="9">
        <v>27920</v>
      </c>
      <c r="E38" s="9">
        <v>1311</v>
      </c>
      <c r="F38" s="9">
        <v>6555</v>
      </c>
      <c r="G38" s="9">
        <f t="shared" si="1"/>
        <v>11466744</v>
      </c>
      <c r="H38" s="9">
        <f t="shared" si="2"/>
        <v>114667440</v>
      </c>
      <c r="I38" s="9">
        <f t="shared" si="3"/>
        <v>5384277</v>
      </c>
      <c r="J38" s="9">
        <f t="shared" si="4"/>
        <v>26921385</v>
      </c>
      <c r="K38" s="22">
        <f t="shared" si="5"/>
        <v>22933488</v>
      </c>
    </row>
    <row r="39" spans="2:11" x14ac:dyDescent="0.3">
      <c r="B39" s="9">
        <v>38</v>
      </c>
      <c r="C39" s="9">
        <v>2932</v>
      </c>
      <c r="D39" s="9">
        <v>29320</v>
      </c>
      <c r="E39" s="9">
        <v>1384</v>
      </c>
      <c r="F39" s="9">
        <v>6920</v>
      </c>
      <c r="G39" s="9">
        <f t="shared" si="1"/>
        <v>12701424</v>
      </c>
      <c r="H39" s="9">
        <f t="shared" si="2"/>
        <v>127014240</v>
      </c>
      <c r="I39" s="9">
        <f t="shared" si="3"/>
        <v>5995488</v>
      </c>
      <c r="J39" s="9">
        <f t="shared" si="4"/>
        <v>29977440</v>
      </c>
      <c r="K39" s="22">
        <f t="shared" si="5"/>
        <v>25402848</v>
      </c>
    </row>
    <row r="40" spans="2:11" x14ac:dyDescent="0.3">
      <c r="B40" s="9">
        <v>39</v>
      </c>
      <c r="C40" s="9">
        <v>3079</v>
      </c>
      <c r="D40" s="9">
        <v>30790</v>
      </c>
      <c r="E40" s="9">
        <v>1460</v>
      </c>
      <c r="F40" s="9">
        <v>7300</v>
      </c>
      <c r="G40" s="9">
        <f t="shared" si="1"/>
        <v>14049477</v>
      </c>
      <c r="H40" s="9">
        <f t="shared" si="2"/>
        <v>140494770</v>
      </c>
      <c r="I40" s="9">
        <f t="shared" si="3"/>
        <v>6661980</v>
      </c>
      <c r="J40" s="9">
        <f t="shared" si="4"/>
        <v>33309900</v>
      </c>
      <c r="K40" s="22">
        <f t="shared" si="5"/>
        <v>28098954</v>
      </c>
    </row>
    <row r="41" spans="2:11" x14ac:dyDescent="0.3">
      <c r="B41" s="9">
        <v>40</v>
      </c>
      <c r="C41" s="9">
        <v>3233</v>
      </c>
      <c r="D41" s="9">
        <v>32330</v>
      </c>
      <c r="E41" s="9">
        <v>1537</v>
      </c>
      <c r="F41" s="9">
        <v>7685</v>
      </c>
      <c r="G41" s="9">
        <f t="shared" si="1"/>
        <v>15518400</v>
      </c>
      <c r="H41" s="9">
        <f t="shared" si="2"/>
        <v>155184000</v>
      </c>
      <c r="I41" s="9">
        <f t="shared" si="3"/>
        <v>7377600</v>
      </c>
      <c r="J41" s="9">
        <f t="shared" si="4"/>
        <v>36888000</v>
      </c>
      <c r="K41" s="22">
        <f t="shared" si="5"/>
        <v>31036800</v>
      </c>
    </row>
    <row r="42" spans="2:11" x14ac:dyDescent="0.3">
      <c r="B42" s="9">
        <v>41</v>
      </c>
      <c r="C42" s="9">
        <v>3395</v>
      </c>
      <c r="D42" s="9">
        <v>33950</v>
      </c>
      <c r="E42" s="9">
        <v>1616</v>
      </c>
      <c r="F42" s="9">
        <v>8080</v>
      </c>
      <c r="G42" s="9">
        <f t="shared" si="1"/>
        <v>17120985</v>
      </c>
      <c r="H42" s="9">
        <f t="shared" si="2"/>
        <v>171209850</v>
      </c>
      <c r="I42" s="9">
        <f t="shared" si="3"/>
        <v>8149488</v>
      </c>
      <c r="J42" s="9">
        <f t="shared" si="4"/>
        <v>40747440</v>
      </c>
      <c r="K42" s="22">
        <f t="shared" si="5"/>
        <v>34241970</v>
      </c>
    </row>
    <row r="43" spans="2:11" x14ac:dyDescent="0.3">
      <c r="B43" s="9">
        <v>42</v>
      </c>
      <c r="C43" s="9">
        <v>3565</v>
      </c>
      <c r="D43" s="9">
        <v>35650</v>
      </c>
      <c r="E43" s="9">
        <v>1697</v>
      </c>
      <c r="F43" s="9">
        <v>8485</v>
      </c>
      <c r="G43" s="9">
        <f t="shared" si="1"/>
        <v>18865980</v>
      </c>
      <c r="H43" s="9">
        <f t="shared" si="2"/>
        <v>188659800</v>
      </c>
      <c r="I43" s="9">
        <f t="shared" si="3"/>
        <v>8980524</v>
      </c>
      <c r="J43" s="9">
        <f t="shared" si="4"/>
        <v>44902620</v>
      </c>
      <c r="K43" s="22">
        <f t="shared" si="5"/>
        <v>37731960</v>
      </c>
    </row>
    <row r="44" spans="2:11" x14ac:dyDescent="0.3">
      <c r="B44" s="9">
        <v>43</v>
      </c>
      <c r="C44" s="9">
        <v>3744</v>
      </c>
      <c r="D44" s="9">
        <v>37440</v>
      </c>
      <c r="E44" s="9">
        <v>1780</v>
      </c>
      <c r="F44" s="9">
        <v>8900</v>
      </c>
      <c r="G44" s="9">
        <f t="shared" si="1"/>
        <v>20767968</v>
      </c>
      <c r="H44" s="9">
        <f t="shared" si="2"/>
        <v>207679680</v>
      </c>
      <c r="I44" s="9">
        <f t="shared" si="3"/>
        <v>9873660</v>
      </c>
      <c r="J44" s="9">
        <f t="shared" si="4"/>
        <v>49368300</v>
      </c>
      <c r="K44" s="22">
        <f t="shared" si="5"/>
        <v>41535936</v>
      </c>
    </row>
    <row r="45" spans="2:11" x14ac:dyDescent="0.3">
      <c r="B45" s="9">
        <v>44</v>
      </c>
      <c r="C45" s="9">
        <v>3932</v>
      </c>
      <c r="D45" s="9">
        <v>39320</v>
      </c>
      <c r="E45" s="9">
        <v>1866</v>
      </c>
      <c r="F45" s="9">
        <v>9330</v>
      </c>
      <c r="G45" s="9">
        <f t="shared" si="1"/>
        <v>22837056</v>
      </c>
      <c r="H45" s="9">
        <f t="shared" si="2"/>
        <v>228370560</v>
      </c>
      <c r="I45" s="9">
        <f t="shared" si="3"/>
        <v>10837728</v>
      </c>
      <c r="J45" s="9">
        <f t="shared" si="4"/>
        <v>54188640</v>
      </c>
      <c r="K45" s="22">
        <f t="shared" si="5"/>
        <v>45674112</v>
      </c>
    </row>
    <row r="46" spans="2:11" x14ac:dyDescent="0.3">
      <c r="B46" s="9">
        <v>45</v>
      </c>
      <c r="C46" s="9">
        <v>4129</v>
      </c>
      <c r="D46" s="9">
        <v>41290</v>
      </c>
      <c r="E46" s="9">
        <v>1953</v>
      </c>
      <c r="F46" s="9">
        <v>9765</v>
      </c>
      <c r="G46" s="9">
        <f t="shared" si="1"/>
        <v>25083675</v>
      </c>
      <c r="H46" s="9">
        <f t="shared" si="2"/>
        <v>250836750</v>
      </c>
      <c r="I46" s="9">
        <f t="shared" si="3"/>
        <v>11864475</v>
      </c>
      <c r="J46" s="9">
        <f t="shared" si="4"/>
        <v>59322375</v>
      </c>
      <c r="K46" s="22">
        <f t="shared" si="5"/>
        <v>50167350</v>
      </c>
    </row>
    <row r="47" spans="2:11" x14ac:dyDescent="0.3">
      <c r="B47" s="9">
        <v>46</v>
      </c>
      <c r="C47" s="9">
        <v>4336</v>
      </c>
      <c r="D47" s="9">
        <v>43360</v>
      </c>
      <c r="E47" s="9">
        <v>2042</v>
      </c>
      <c r="F47" s="9">
        <v>10210</v>
      </c>
      <c r="G47" s="9">
        <f t="shared" si="1"/>
        <v>27524928</v>
      </c>
      <c r="H47" s="9">
        <f t="shared" si="2"/>
        <v>275249280</v>
      </c>
      <c r="I47" s="9">
        <f t="shared" si="3"/>
        <v>12962616</v>
      </c>
      <c r="J47" s="9">
        <f t="shared" si="4"/>
        <v>64813080</v>
      </c>
      <c r="K47" s="22">
        <f t="shared" si="5"/>
        <v>55049856</v>
      </c>
    </row>
    <row r="48" spans="2:11" x14ac:dyDescent="0.3">
      <c r="B48" s="9">
        <v>47</v>
      </c>
      <c r="C48" s="9">
        <v>4553</v>
      </c>
      <c r="D48" s="9">
        <v>45530</v>
      </c>
      <c r="E48" s="9">
        <v>2133</v>
      </c>
      <c r="F48" s="9">
        <v>10665</v>
      </c>
      <c r="G48" s="9">
        <f t="shared" si="1"/>
        <v>30172731</v>
      </c>
      <c r="H48" s="9">
        <f t="shared" si="2"/>
        <v>301727310</v>
      </c>
      <c r="I48" s="9">
        <f t="shared" si="3"/>
        <v>14135391</v>
      </c>
      <c r="J48" s="9">
        <f t="shared" si="4"/>
        <v>70676955</v>
      </c>
      <c r="K48" s="22">
        <f t="shared" si="5"/>
        <v>60345462</v>
      </c>
    </row>
    <row r="49" spans="2:11" x14ac:dyDescent="0.3">
      <c r="B49" s="9">
        <v>48</v>
      </c>
      <c r="C49" s="9">
        <v>4781</v>
      </c>
      <c r="D49" s="9">
        <v>47810</v>
      </c>
      <c r="E49" s="9">
        <v>2226</v>
      </c>
      <c r="F49" s="9">
        <v>11130</v>
      </c>
      <c r="G49" s="9">
        <f t="shared" si="1"/>
        <v>33046272</v>
      </c>
      <c r="H49" s="9">
        <f t="shared" si="2"/>
        <v>330462720</v>
      </c>
      <c r="I49" s="9">
        <f t="shared" si="3"/>
        <v>15386112</v>
      </c>
      <c r="J49" s="9">
        <f t="shared" si="4"/>
        <v>76930560</v>
      </c>
      <c r="K49" s="22">
        <f t="shared" si="5"/>
        <v>66092544</v>
      </c>
    </row>
    <row r="50" spans="2:11" x14ac:dyDescent="0.3">
      <c r="B50" s="9">
        <v>49</v>
      </c>
      <c r="C50" s="9">
        <v>5021</v>
      </c>
      <c r="D50" s="9">
        <v>50210</v>
      </c>
      <c r="E50" s="9">
        <v>2321</v>
      </c>
      <c r="F50" s="9">
        <v>11605</v>
      </c>
      <c r="G50" s="9">
        <f t="shared" si="1"/>
        <v>36166263</v>
      </c>
      <c r="H50" s="9">
        <f t="shared" si="2"/>
        <v>361662630</v>
      </c>
      <c r="I50" s="9">
        <f t="shared" si="3"/>
        <v>16718163</v>
      </c>
      <c r="J50" s="9">
        <f t="shared" si="4"/>
        <v>83590815</v>
      </c>
      <c r="K50" s="22">
        <f t="shared" si="5"/>
        <v>72332526</v>
      </c>
    </row>
    <row r="51" spans="2:11" x14ac:dyDescent="0.3">
      <c r="B51" s="9">
        <v>50</v>
      </c>
      <c r="C51" s="9">
        <v>5273</v>
      </c>
      <c r="D51" s="9">
        <v>52730</v>
      </c>
      <c r="E51" s="9">
        <v>2419</v>
      </c>
      <c r="F51" s="9">
        <v>12095</v>
      </c>
      <c r="G51" s="9">
        <f t="shared" si="1"/>
        <v>39547500</v>
      </c>
      <c r="H51" s="9">
        <f t="shared" si="2"/>
        <v>395475000</v>
      </c>
      <c r="I51" s="9">
        <f t="shared" si="3"/>
        <v>18142500</v>
      </c>
      <c r="J51" s="9">
        <f t="shared" si="4"/>
        <v>90712500</v>
      </c>
      <c r="K51" s="22">
        <f t="shared" si="5"/>
        <v>79095000</v>
      </c>
    </row>
    <row r="52" spans="2:11" x14ac:dyDescent="0.3">
      <c r="B52" s="9">
        <v>51</v>
      </c>
      <c r="C52" s="9">
        <v>5537</v>
      </c>
      <c r="D52" s="9">
        <v>55370</v>
      </c>
      <c r="E52" s="9">
        <v>2518</v>
      </c>
      <c r="F52" s="9">
        <v>12590</v>
      </c>
      <c r="G52" s="9">
        <f t="shared" si="1"/>
        <v>43205211</v>
      </c>
      <c r="H52" s="9">
        <f t="shared" si="2"/>
        <v>432052110</v>
      </c>
      <c r="I52" s="9">
        <f t="shared" si="3"/>
        <v>19647954</v>
      </c>
      <c r="J52" s="9">
        <f t="shared" si="4"/>
        <v>98239770</v>
      </c>
      <c r="K52" s="22">
        <f t="shared" si="5"/>
        <v>86410422</v>
      </c>
    </row>
    <row r="53" spans="2:11" x14ac:dyDescent="0.3">
      <c r="B53" s="9">
        <v>52</v>
      </c>
      <c r="C53" s="9">
        <v>5814</v>
      </c>
      <c r="D53" s="9">
        <v>58140</v>
      </c>
      <c r="E53" s="9">
        <v>2619</v>
      </c>
      <c r="F53" s="9">
        <v>13095</v>
      </c>
      <c r="G53" s="9">
        <f t="shared" si="1"/>
        <v>47163168</v>
      </c>
      <c r="H53" s="9">
        <f t="shared" si="2"/>
        <v>471631680</v>
      </c>
      <c r="I53" s="9">
        <f t="shared" si="3"/>
        <v>21245328</v>
      </c>
      <c r="J53" s="9">
        <f t="shared" si="4"/>
        <v>106226640</v>
      </c>
      <c r="K53" s="22">
        <f t="shared" si="5"/>
        <v>94326336</v>
      </c>
    </row>
    <row r="54" spans="2:11" x14ac:dyDescent="0.3">
      <c r="B54" s="9">
        <v>53</v>
      </c>
      <c r="C54" s="9">
        <v>6105</v>
      </c>
      <c r="D54" s="9">
        <v>61050</v>
      </c>
      <c r="E54" s="9">
        <v>2722</v>
      </c>
      <c r="F54" s="9">
        <v>13610</v>
      </c>
      <c r="G54" s="9">
        <f t="shared" si="1"/>
        <v>51446835</v>
      </c>
      <c r="H54" s="9">
        <f t="shared" si="2"/>
        <v>514468350</v>
      </c>
      <c r="I54" s="9">
        <f t="shared" si="3"/>
        <v>22938294</v>
      </c>
      <c r="J54" s="9">
        <f t="shared" si="4"/>
        <v>114691470</v>
      </c>
      <c r="K54" s="22">
        <f t="shared" si="5"/>
        <v>102893670</v>
      </c>
    </row>
    <row r="55" spans="2:11" x14ac:dyDescent="0.3">
      <c r="B55" s="9">
        <v>54</v>
      </c>
      <c r="C55" s="9">
        <v>6411</v>
      </c>
      <c r="D55" s="9">
        <v>64110</v>
      </c>
      <c r="E55" s="9">
        <v>2827</v>
      </c>
      <c r="F55" s="9">
        <v>14135</v>
      </c>
      <c r="G55" s="9">
        <f t="shared" si="1"/>
        <v>56083428</v>
      </c>
      <c r="H55" s="9">
        <f t="shared" si="2"/>
        <v>560834280</v>
      </c>
      <c r="I55" s="9">
        <f t="shared" si="3"/>
        <v>24730596</v>
      </c>
      <c r="J55" s="9">
        <f t="shared" si="4"/>
        <v>123652980</v>
      </c>
      <c r="K55" s="22">
        <f t="shared" si="5"/>
        <v>112166856</v>
      </c>
    </row>
    <row r="56" spans="2:11" x14ac:dyDescent="0.3">
      <c r="B56" s="9">
        <v>55</v>
      </c>
      <c r="C56" s="9">
        <v>6732</v>
      </c>
      <c r="D56" s="9">
        <v>67320</v>
      </c>
      <c r="E56" s="9">
        <v>2935</v>
      </c>
      <c r="F56" s="9">
        <v>14675</v>
      </c>
      <c r="G56" s="9">
        <f t="shared" si="1"/>
        <v>61092900</v>
      </c>
      <c r="H56" s="9">
        <f t="shared" si="2"/>
        <v>610929000</v>
      </c>
      <c r="I56" s="9">
        <f t="shared" si="3"/>
        <v>26635125</v>
      </c>
      <c r="J56" s="9">
        <f t="shared" si="4"/>
        <v>133175625</v>
      </c>
      <c r="K56" s="22">
        <f t="shared" si="5"/>
        <v>122185800</v>
      </c>
    </row>
    <row r="57" spans="2:11" x14ac:dyDescent="0.3">
      <c r="B57" s="9">
        <v>56</v>
      </c>
      <c r="C57" s="9">
        <v>7069</v>
      </c>
      <c r="D57" s="9">
        <v>70690</v>
      </c>
      <c r="E57" s="9">
        <v>3044</v>
      </c>
      <c r="F57" s="9">
        <v>15220</v>
      </c>
      <c r="G57" s="9">
        <f t="shared" si="1"/>
        <v>66505152</v>
      </c>
      <c r="H57" s="9">
        <f t="shared" si="2"/>
        <v>665051520</v>
      </c>
      <c r="I57" s="9">
        <f t="shared" si="3"/>
        <v>28637952</v>
      </c>
      <c r="J57" s="9">
        <f t="shared" si="4"/>
        <v>143189760</v>
      </c>
      <c r="K57" s="22">
        <f t="shared" si="5"/>
        <v>133010304</v>
      </c>
    </row>
    <row r="58" spans="2:11" x14ac:dyDescent="0.3">
      <c r="B58" s="9">
        <v>57</v>
      </c>
      <c r="C58" s="9">
        <v>7423</v>
      </c>
      <c r="D58" s="9">
        <v>74230</v>
      </c>
      <c r="E58" s="9">
        <v>3155</v>
      </c>
      <c r="F58" s="9">
        <v>15775</v>
      </c>
      <c r="G58" s="9">
        <f t="shared" si="1"/>
        <v>72351981</v>
      </c>
      <c r="H58" s="9">
        <f t="shared" si="2"/>
        <v>723519810</v>
      </c>
      <c r="I58" s="9">
        <f t="shared" si="3"/>
        <v>30751785</v>
      </c>
      <c r="J58" s="9">
        <f t="shared" si="4"/>
        <v>153758925</v>
      </c>
      <c r="K58" s="22">
        <f t="shared" si="5"/>
        <v>144703962</v>
      </c>
    </row>
    <row r="59" spans="2:11" x14ac:dyDescent="0.3">
      <c r="B59" s="9">
        <v>58</v>
      </c>
      <c r="C59" s="9">
        <v>7795</v>
      </c>
      <c r="D59" s="9">
        <v>77950</v>
      </c>
      <c r="E59" s="9">
        <v>3268</v>
      </c>
      <c r="F59" s="9">
        <v>16340</v>
      </c>
      <c r="G59" s="9">
        <f t="shared" si="1"/>
        <v>78667140</v>
      </c>
      <c r="H59" s="9">
        <f t="shared" si="2"/>
        <v>786671400</v>
      </c>
      <c r="I59" s="9">
        <f t="shared" si="3"/>
        <v>32980656</v>
      </c>
      <c r="J59" s="9">
        <f t="shared" si="4"/>
        <v>164903280</v>
      </c>
      <c r="K59" s="22">
        <f t="shared" si="5"/>
        <v>157334280</v>
      </c>
    </row>
    <row r="60" spans="2:11" x14ac:dyDescent="0.3">
      <c r="B60" s="9">
        <v>59</v>
      </c>
      <c r="C60" s="9">
        <v>8185</v>
      </c>
      <c r="D60" s="9">
        <v>81850</v>
      </c>
      <c r="E60" s="9">
        <v>3383</v>
      </c>
      <c r="F60" s="9">
        <v>16915</v>
      </c>
      <c r="G60" s="9">
        <f t="shared" si="1"/>
        <v>85475955</v>
      </c>
      <c r="H60" s="9">
        <f t="shared" si="2"/>
        <v>854759550</v>
      </c>
      <c r="I60" s="9">
        <f t="shared" si="3"/>
        <v>35328669</v>
      </c>
      <c r="J60" s="9">
        <f t="shared" si="4"/>
        <v>176643345</v>
      </c>
      <c r="K60" s="22">
        <f t="shared" si="5"/>
        <v>170951910</v>
      </c>
    </row>
    <row r="61" spans="2:11" x14ac:dyDescent="0.3">
      <c r="B61" s="9">
        <v>60</v>
      </c>
      <c r="C61" s="9">
        <v>8595</v>
      </c>
      <c r="D61" s="9">
        <v>85950</v>
      </c>
      <c r="E61" s="9">
        <v>3501</v>
      </c>
      <c r="F61" s="9">
        <v>17505</v>
      </c>
      <c r="G61" s="9">
        <f t="shared" si="1"/>
        <v>92826000</v>
      </c>
      <c r="H61" s="9">
        <f t="shared" si="2"/>
        <v>928260000</v>
      </c>
      <c r="I61" s="9">
        <f t="shared" si="3"/>
        <v>37810800</v>
      </c>
      <c r="J61" s="9">
        <f t="shared" si="4"/>
        <v>189054000</v>
      </c>
      <c r="K61" s="22">
        <f t="shared" si="5"/>
        <v>185652000</v>
      </c>
    </row>
    <row r="62" spans="2:11" x14ac:dyDescent="0.3">
      <c r="B62" s="9">
        <v>61</v>
      </c>
      <c r="C62" s="9">
        <v>9025</v>
      </c>
      <c r="D62" s="9">
        <v>90250</v>
      </c>
      <c r="E62" s="9">
        <v>3620</v>
      </c>
      <c r="F62" s="9">
        <v>18100</v>
      </c>
      <c r="G62" s="9">
        <f t="shared" si="1"/>
        <v>100746075</v>
      </c>
      <c r="H62" s="9">
        <f t="shared" si="2"/>
        <v>1007460750</v>
      </c>
      <c r="I62" s="9">
        <f t="shared" si="3"/>
        <v>40410060</v>
      </c>
      <c r="J62" s="9">
        <f t="shared" si="4"/>
        <v>202050300</v>
      </c>
      <c r="K62" s="22">
        <f t="shared" si="5"/>
        <v>201492150</v>
      </c>
    </row>
    <row r="63" spans="2:11" x14ac:dyDescent="0.3">
      <c r="B63" s="9">
        <v>62</v>
      </c>
      <c r="C63" s="9">
        <v>9477</v>
      </c>
      <c r="D63" s="9">
        <v>94770</v>
      </c>
      <c r="E63" s="9">
        <v>3741</v>
      </c>
      <c r="F63" s="9">
        <v>18705</v>
      </c>
      <c r="G63" s="9">
        <f t="shared" si="1"/>
        <v>109288764</v>
      </c>
      <c r="H63" s="9">
        <f t="shared" si="2"/>
        <v>1092887640</v>
      </c>
      <c r="I63" s="9">
        <f t="shared" si="3"/>
        <v>43141212</v>
      </c>
      <c r="J63" s="9">
        <f t="shared" si="4"/>
        <v>215706060</v>
      </c>
      <c r="K63" s="22">
        <f t="shared" si="5"/>
        <v>218577528</v>
      </c>
    </row>
    <row r="64" spans="2:11" x14ac:dyDescent="0.3">
      <c r="B64" s="9">
        <v>63</v>
      </c>
      <c r="C64" s="9">
        <v>9951</v>
      </c>
      <c r="D64" s="9">
        <v>99510</v>
      </c>
      <c r="E64" s="9">
        <v>3864</v>
      </c>
      <c r="F64" s="9">
        <v>19320</v>
      </c>
      <c r="G64" s="9">
        <f t="shared" si="1"/>
        <v>118486557</v>
      </c>
      <c r="H64" s="9">
        <f t="shared" si="2"/>
        <v>1184865570</v>
      </c>
      <c r="I64" s="9">
        <f t="shared" si="3"/>
        <v>46008648</v>
      </c>
      <c r="J64" s="9">
        <f t="shared" si="4"/>
        <v>230043240</v>
      </c>
      <c r="K64" s="22">
        <f t="shared" si="5"/>
        <v>236973114</v>
      </c>
    </row>
    <row r="65" spans="2:11" x14ac:dyDescent="0.3">
      <c r="B65" s="9">
        <v>64</v>
      </c>
      <c r="C65" s="9">
        <v>10449</v>
      </c>
      <c r="D65" s="9">
        <v>104490</v>
      </c>
      <c r="E65" s="9">
        <v>3989</v>
      </c>
      <c r="F65" s="9">
        <v>19945</v>
      </c>
      <c r="G65" s="9">
        <f t="shared" si="1"/>
        <v>128397312</v>
      </c>
      <c r="H65" s="9">
        <f t="shared" si="2"/>
        <v>1283973120</v>
      </c>
      <c r="I65" s="9">
        <f t="shared" si="3"/>
        <v>49016832</v>
      </c>
      <c r="J65" s="9">
        <f t="shared" si="4"/>
        <v>245084160</v>
      </c>
      <c r="K65" s="22">
        <f t="shared" si="5"/>
        <v>256794624</v>
      </c>
    </row>
    <row r="66" spans="2:11" x14ac:dyDescent="0.3">
      <c r="B66" s="9">
        <v>65</v>
      </c>
      <c r="C66" s="9">
        <v>10972</v>
      </c>
      <c r="D66" s="9">
        <v>109720</v>
      </c>
      <c r="E66" s="9">
        <v>4117</v>
      </c>
      <c r="F66" s="9">
        <v>20585</v>
      </c>
      <c r="G66" s="9">
        <f t="shared" si="1"/>
        <v>139070100</v>
      </c>
      <c r="H66" s="9">
        <f t="shared" si="2"/>
        <v>1390701000</v>
      </c>
      <c r="I66" s="9">
        <f t="shared" si="3"/>
        <v>52182975</v>
      </c>
      <c r="J66" s="9">
        <f t="shared" si="4"/>
        <v>260914875</v>
      </c>
      <c r="K66" s="22">
        <f t="shared" si="5"/>
        <v>278140200</v>
      </c>
    </row>
    <row r="67" spans="2:11" x14ac:dyDescent="0.3">
      <c r="B67" s="9">
        <v>66</v>
      </c>
      <c r="C67" s="9">
        <v>11521</v>
      </c>
      <c r="D67" s="9">
        <v>115210</v>
      </c>
      <c r="E67" s="9">
        <v>4246</v>
      </c>
      <c r="F67" s="9">
        <v>21230</v>
      </c>
      <c r="G67" s="9">
        <f t="shared" si="1"/>
        <v>150556428</v>
      </c>
      <c r="H67" s="9">
        <f t="shared" si="2"/>
        <v>1505564280</v>
      </c>
      <c r="I67" s="9">
        <f t="shared" si="3"/>
        <v>55486728</v>
      </c>
      <c r="J67" s="9">
        <f t="shared" si="4"/>
        <v>277433640</v>
      </c>
      <c r="K67" s="22">
        <f t="shared" si="5"/>
        <v>301112856</v>
      </c>
    </row>
    <row r="68" spans="2:11" x14ac:dyDescent="0.3">
      <c r="B68" s="9">
        <v>67</v>
      </c>
      <c r="C68" s="9">
        <v>12098</v>
      </c>
      <c r="D68" s="9">
        <v>120980</v>
      </c>
      <c r="E68" s="9">
        <v>4377</v>
      </c>
      <c r="F68" s="9">
        <v>21885</v>
      </c>
      <c r="G68" s="9">
        <f t="shared" ref="G68:G131" si="6">C68*$B68*($B68*3)</f>
        <v>162923766</v>
      </c>
      <c r="H68" s="9">
        <f t="shared" ref="H68:H131" si="7">D68*$B68*($B68*3)</f>
        <v>1629237660</v>
      </c>
      <c r="I68" s="9">
        <f t="shared" ref="I68:I131" si="8">E68*$B68*($B68*3)</f>
        <v>58945059</v>
      </c>
      <c r="J68" s="9">
        <f t="shared" ref="J68:J131" si="9">F68*$B68*($B68*3)</f>
        <v>294725295</v>
      </c>
      <c r="K68" s="22">
        <f t="shared" ref="K68:K131" si="10">G68*2</f>
        <v>325847532</v>
      </c>
    </row>
    <row r="69" spans="2:11" x14ac:dyDescent="0.3">
      <c r="B69" s="9">
        <v>68</v>
      </c>
      <c r="C69" s="9">
        <v>12703</v>
      </c>
      <c r="D69" s="9">
        <v>127030</v>
      </c>
      <c r="E69" s="9">
        <v>4510</v>
      </c>
      <c r="F69" s="9">
        <v>22550</v>
      </c>
      <c r="G69" s="9">
        <f t="shared" si="6"/>
        <v>176216016</v>
      </c>
      <c r="H69" s="9">
        <f t="shared" si="7"/>
        <v>1762160160</v>
      </c>
      <c r="I69" s="9">
        <f t="shared" si="8"/>
        <v>62562720</v>
      </c>
      <c r="J69" s="9">
        <f t="shared" si="9"/>
        <v>312813600</v>
      </c>
      <c r="K69" s="22">
        <f t="shared" si="10"/>
        <v>352432032</v>
      </c>
    </row>
    <row r="70" spans="2:11" x14ac:dyDescent="0.3">
      <c r="B70" s="9">
        <v>69</v>
      </c>
      <c r="C70" s="9">
        <v>13339</v>
      </c>
      <c r="D70" s="9">
        <v>133390</v>
      </c>
      <c r="E70" s="9">
        <v>4646</v>
      </c>
      <c r="F70" s="9">
        <v>23230</v>
      </c>
      <c r="G70" s="9">
        <f t="shared" si="6"/>
        <v>190520937</v>
      </c>
      <c r="H70" s="9">
        <f t="shared" si="7"/>
        <v>1905209370</v>
      </c>
      <c r="I70" s="9">
        <f t="shared" si="8"/>
        <v>66358818</v>
      </c>
      <c r="J70" s="9">
        <f t="shared" si="9"/>
        <v>331794090</v>
      </c>
      <c r="K70" s="22">
        <f t="shared" si="10"/>
        <v>381041874</v>
      </c>
    </row>
    <row r="71" spans="2:11" x14ac:dyDescent="0.3">
      <c r="B71" s="9">
        <v>70</v>
      </c>
      <c r="C71" s="9">
        <v>14006</v>
      </c>
      <c r="D71" s="9">
        <v>140060</v>
      </c>
      <c r="E71" s="9">
        <v>4783</v>
      </c>
      <c r="F71" s="9">
        <v>23915</v>
      </c>
      <c r="G71" s="9">
        <f t="shared" si="6"/>
        <v>205888200</v>
      </c>
      <c r="H71" s="9">
        <f t="shared" si="7"/>
        <v>2058882000</v>
      </c>
      <c r="I71" s="9">
        <f t="shared" si="8"/>
        <v>70310100</v>
      </c>
      <c r="J71" s="9">
        <f t="shared" si="9"/>
        <v>351550500</v>
      </c>
      <c r="K71" s="22">
        <f t="shared" si="10"/>
        <v>411776400</v>
      </c>
    </row>
    <row r="72" spans="2:11" x14ac:dyDescent="0.3">
      <c r="B72" s="9">
        <v>71</v>
      </c>
      <c r="C72" s="9">
        <v>14707</v>
      </c>
      <c r="D72" s="9">
        <v>147070</v>
      </c>
      <c r="E72" s="9">
        <v>4922</v>
      </c>
      <c r="F72" s="9">
        <v>24610</v>
      </c>
      <c r="G72" s="9">
        <f t="shared" si="6"/>
        <v>222413961</v>
      </c>
      <c r="H72" s="9">
        <f t="shared" si="7"/>
        <v>2224139610</v>
      </c>
      <c r="I72" s="9">
        <f t="shared" si="8"/>
        <v>74435406</v>
      </c>
      <c r="J72" s="9">
        <f t="shared" si="9"/>
        <v>372177030</v>
      </c>
      <c r="K72" s="22">
        <f t="shared" si="10"/>
        <v>444827922</v>
      </c>
    </row>
    <row r="73" spans="2:11" x14ac:dyDescent="0.3">
      <c r="B73" s="9">
        <v>72</v>
      </c>
      <c r="C73" s="9">
        <v>15443</v>
      </c>
      <c r="D73" s="9">
        <v>154430</v>
      </c>
      <c r="E73" s="9">
        <v>5063</v>
      </c>
      <c r="F73" s="9">
        <v>25315</v>
      </c>
      <c r="G73" s="9">
        <f t="shared" si="6"/>
        <v>240169536</v>
      </c>
      <c r="H73" s="9">
        <f t="shared" si="7"/>
        <v>2401695360</v>
      </c>
      <c r="I73" s="9">
        <f t="shared" si="8"/>
        <v>78739776</v>
      </c>
      <c r="J73" s="9">
        <f t="shared" si="9"/>
        <v>393698880</v>
      </c>
      <c r="K73" s="22">
        <f t="shared" si="10"/>
        <v>480339072</v>
      </c>
    </row>
    <row r="74" spans="2:11" x14ac:dyDescent="0.3">
      <c r="B74" s="9">
        <v>73</v>
      </c>
      <c r="C74" s="9">
        <v>16216</v>
      </c>
      <c r="D74" s="9">
        <v>162160</v>
      </c>
      <c r="E74" s="9">
        <v>5206</v>
      </c>
      <c r="F74" s="9">
        <v>26030</v>
      </c>
      <c r="G74" s="9">
        <f t="shared" si="6"/>
        <v>259245192</v>
      </c>
      <c r="H74" s="9">
        <f t="shared" si="7"/>
        <v>2592451920</v>
      </c>
      <c r="I74" s="9">
        <f t="shared" si="8"/>
        <v>83228322</v>
      </c>
      <c r="J74" s="9">
        <f t="shared" si="9"/>
        <v>416141610</v>
      </c>
      <c r="K74" s="22">
        <f t="shared" si="10"/>
        <v>518490384</v>
      </c>
    </row>
    <row r="75" spans="2:11" x14ac:dyDescent="0.3">
      <c r="B75" s="9">
        <v>74</v>
      </c>
      <c r="C75" s="9">
        <v>17027</v>
      </c>
      <c r="D75" s="9">
        <v>170270</v>
      </c>
      <c r="E75" s="9">
        <v>5352</v>
      </c>
      <c r="F75" s="9">
        <v>26760</v>
      </c>
      <c r="G75" s="9">
        <f t="shared" si="6"/>
        <v>279719556</v>
      </c>
      <c r="H75" s="9">
        <f t="shared" si="7"/>
        <v>2797195560</v>
      </c>
      <c r="I75" s="9">
        <f t="shared" si="8"/>
        <v>87922656</v>
      </c>
      <c r="J75" s="9">
        <f t="shared" si="9"/>
        <v>439613280</v>
      </c>
      <c r="K75" s="22">
        <f t="shared" si="10"/>
        <v>559439112</v>
      </c>
    </row>
    <row r="76" spans="2:11" x14ac:dyDescent="0.3">
      <c r="B76" s="9">
        <v>75</v>
      </c>
      <c r="C76" s="9">
        <v>17879</v>
      </c>
      <c r="D76" s="9">
        <v>178790</v>
      </c>
      <c r="E76" s="9">
        <v>5499</v>
      </c>
      <c r="F76" s="9">
        <v>27495</v>
      </c>
      <c r="G76" s="9">
        <f t="shared" si="6"/>
        <v>301708125</v>
      </c>
      <c r="H76" s="9">
        <f t="shared" si="7"/>
        <v>3017081250</v>
      </c>
      <c r="I76" s="9">
        <f t="shared" si="8"/>
        <v>92795625</v>
      </c>
      <c r="J76" s="9">
        <f t="shared" si="9"/>
        <v>463978125</v>
      </c>
      <c r="K76" s="22">
        <f t="shared" si="10"/>
        <v>603416250</v>
      </c>
    </row>
    <row r="77" spans="2:11" x14ac:dyDescent="0.3">
      <c r="B77" s="9">
        <v>76</v>
      </c>
      <c r="C77" s="9">
        <v>18773</v>
      </c>
      <c r="D77" s="9">
        <v>187730</v>
      </c>
      <c r="E77" s="9">
        <v>5648</v>
      </c>
      <c r="F77" s="9">
        <v>28240</v>
      </c>
      <c r="G77" s="9">
        <f t="shared" si="6"/>
        <v>325298544</v>
      </c>
      <c r="H77" s="9">
        <f t="shared" si="7"/>
        <v>3252985440</v>
      </c>
      <c r="I77" s="9">
        <f t="shared" si="8"/>
        <v>97868544</v>
      </c>
      <c r="J77" s="9">
        <f t="shared" si="9"/>
        <v>489342720</v>
      </c>
      <c r="K77" s="22">
        <f t="shared" si="10"/>
        <v>650597088</v>
      </c>
    </row>
    <row r="78" spans="2:11" x14ac:dyDescent="0.3">
      <c r="B78" s="9">
        <v>77</v>
      </c>
      <c r="C78" s="9">
        <v>19712</v>
      </c>
      <c r="D78" s="9">
        <v>197120</v>
      </c>
      <c r="E78" s="9">
        <v>5799</v>
      </c>
      <c r="F78" s="9">
        <v>28995</v>
      </c>
      <c r="G78" s="9">
        <f t="shared" si="6"/>
        <v>350617344</v>
      </c>
      <c r="H78" s="9">
        <f t="shared" si="7"/>
        <v>3506173440</v>
      </c>
      <c r="I78" s="9">
        <f t="shared" si="8"/>
        <v>103146813</v>
      </c>
      <c r="J78" s="9">
        <f t="shared" si="9"/>
        <v>515734065</v>
      </c>
      <c r="K78" s="22">
        <f t="shared" si="10"/>
        <v>701234688</v>
      </c>
    </row>
    <row r="79" spans="2:11" x14ac:dyDescent="0.3">
      <c r="B79" s="9">
        <v>78</v>
      </c>
      <c r="C79" s="9">
        <v>20698</v>
      </c>
      <c r="D79" s="9">
        <v>206980</v>
      </c>
      <c r="E79" s="9">
        <v>5953</v>
      </c>
      <c r="F79" s="9">
        <v>29765</v>
      </c>
      <c r="G79" s="9">
        <f t="shared" si="6"/>
        <v>377779896</v>
      </c>
      <c r="H79" s="9">
        <f t="shared" si="7"/>
        <v>3777798960</v>
      </c>
      <c r="I79" s="9">
        <f t="shared" si="8"/>
        <v>108654156</v>
      </c>
      <c r="J79" s="9">
        <f t="shared" si="9"/>
        <v>543270780</v>
      </c>
      <c r="K79" s="22">
        <f t="shared" si="10"/>
        <v>755559792</v>
      </c>
    </row>
    <row r="80" spans="2:11" x14ac:dyDescent="0.3">
      <c r="B80" s="9">
        <v>79</v>
      </c>
      <c r="C80" s="9">
        <v>21733</v>
      </c>
      <c r="D80" s="9">
        <v>217330</v>
      </c>
      <c r="E80" s="9">
        <v>6108</v>
      </c>
      <c r="F80" s="9">
        <v>30540</v>
      </c>
      <c r="G80" s="9">
        <f t="shared" si="6"/>
        <v>406906959</v>
      </c>
      <c r="H80" s="9">
        <f t="shared" si="7"/>
        <v>4069069590</v>
      </c>
      <c r="I80" s="9">
        <f t="shared" si="8"/>
        <v>114360084</v>
      </c>
      <c r="J80" s="9">
        <f t="shared" si="9"/>
        <v>571800420</v>
      </c>
      <c r="K80" s="22">
        <f t="shared" si="10"/>
        <v>813813918</v>
      </c>
    </row>
    <row r="81" spans="2:11" x14ac:dyDescent="0.3">
      <c r="B81" s="9">
        <v>80</v>
      </c>
      <c r="C81" s="9">
        <v>22820</v>
      </c>
      <c r="D81" s="9">
        <v>228200</v>
      </c>
      <c r="E81" s="9">
        <v>6265</v>
      </c>
      <c r="F81" s="9">
        <v>31325</v>
      </c>
      <c r="G81" s="9">
        <f t="shared" si="6"/>
        <v>438144000</v>
      </c>
      <c r="H81" s="9">
        <f t="shared" si="7"/>
        <v>4381440000</v>
      </c>
      <c r="I81" s="9">
        <f t="shared" si="8"/>
        <v>120288000</v>
      </c>
      <c r="J81" s="9">
        <f t="shared" si="9"/>
        <v>601440000</v>
      </c>
      <c r="K81" s="22">
        <f t="shared" si="10"/>
        <v>876288000</v>
      </c>
    </row>
    <row r="82" spans="2:11" x14ac:dyDescent="0.3">
      <c r="B82" s="9">
        <v>81</v>
      </c>
      <c r="C82" s="9">
        <v>23961</v>
      </c>
      <c r="D82" s="9">
        <v>239610</v>
      </c>
      <c r="E82" s="9">
        <v>6424</v>
      </c>
      <c r="F82" s="9">
        <v>32120</v>
      </c>
      <c r="G82" s="9">
        <f t="shared" si="6"/>
        <v>471624363</v>
      </c>
      <c r="H82" s="9">
        <f t="shared" si="7"/>
        <v>4716243630</v>
      </c>
      <c r="I82" s="9">
        <f t="shared" si="8"/>
        <v>126443592</v>
      </c>
      <c r="J82" s="9">
        <f t="shared" si="9"/>
        <v>632217960</v>
      </c>
      <c r="K82" s="22">
        <f t="shared" si="10"/>
        <v>943248726</v>
      </c>
    </row>
    <row r="83" spans="2:11" x14ac:dyDescent="0.3">
      <c r="B83" s="9">
        <v>82</v>
      </c>
      <c r="C83" s="9">
        <v>25160</v>
      </c>
      <c r="D83" s="9">
        <v>251600</v>
      </c>
      <c r="E83" s="9">
        <v>6586</v>
      </c>
      <c r="F83" s="9">
        <v>32930</v>
      </c>
      <c r="G83" s="9">
        <f t="shared" si="6"/>
        <v>507527520</v>
      </c>
      <c r="H83" s="9">
        <f t="shared" si="7"/>
        <v>5075275200</v>
      </c>
      <c r="I83" s="9">
        <f t="shared" si="8"/>
        <v>132852792</v>
      </c>
      <c r="J83" s="9">
        <f t="shared" si="9"/>
        <v>664263960</v>
      </c>
      <c r="K83" s="22">
        <f t="shared" si="10"/>
        <v>1015055040</v>
      </c>
    </row>
    <row r="84" spans="2:11" x14ac:dyDescent="0.3">
      <c r="B84" s="9">
        <v>83</v>
      </c>
      <c r="C84" s="9">
        <v>26418</v>
      </c>
      <c r="D84" s="9">
        <v>264180</v>
      </c>
      <c r="E84" s="9">
        <v>6749</v>
      </c>
      <c r="F84" s="9">
        <v>33745</v>
      </c>
      <c r="G84" s="9">
        <f t="shared" si="6"/>
        <v>545980806</v>
      </c>
      <c r="H84" s="9">
        <f t="shared" si="7"/>
        <v>5459808060</v>
      </c>
      <c r="I84" s="9">
        <f t="shared" si="8"/>
        <v>139481583</v>
      </c>
      <c r="J84" s="9">
        <f t="shared" si="9"/>
        <v>697407915</v>
      </c>
      <c r="K84" s="22">
        <f t="shared" si="10"/>
        <v>1091961612</v>
      </c>
    </row>
    <row r="85" spans="2:11" x14ac:dyDescent="0.3">
      <c r="B85" s="9">
        <v>84</v>
      </c>
      <c r="C85" s="9">
        <v>27739</v>
      </c>
      <c r="D85" s="9">
        <v>277390</v>
      </c>
      <c r="E85" s="9">
        <v>6914</v>
      </c>
      <c r="F85" s="9">
        <v>34570</v>
      </c>
      <c r="G85" s="9">
        <f t="shared" si="6"/>
        <v>587179152</v>
      </c>
      <c r="H85" s="9">
        <f t="shared" si="7"/>
        <v>5871791520</v>
      </c>
      <c r="I85" s="9">
        <f t="shared" si="8"/>
        <v>146355552</v>
      </c>
      <c r="J85" s="9">
        <f t="shared" si="9"/>
        <v>731777760</v>
      </c>
      <c r="K85" s="22">
        <f t="shared" si="10"/>
        <v>1174358304</v>
      </c>
    </row>
    <row r="86" spans="2:11" x14ac:dyDescent="0.3">
      <c r="B86" s="9">
        <v>85</v>
      </c>
      <c r="C86" s="9">
        <v>29126</v>
      </c>
      <c r="D86" s="9">
        <v>291260</v>
      </c>
      <c r="E86" s="9">
        <v>7082</v>
      </c>
      <c r="F86" s="9">
        <v>35410</v>
      </c>
      <c r="G86" s="9">
        <f t="shared" si="6"/>
        <v>631306050</v>
      </c>
      <c r="H86" s="9">
        <f t="shared" si="7"/>
        <v>6313060500</v>
      </c>
      <c r="I86" s="9">
        <f t="shared" si="8"/>
        <v>153502350</v>
      </c>
      <c r="J86" s="9">
        <f t="shared" si="9"/>
        <v>767511750</v>
      </c>
      <c r="K86" s="22">
        <f t="shared" si="10"/>
        <v>1262612100</v>
      </c>
    </row>
    <row r="87" spans="2:11" x14ac:dyDescent="0.3">
      <c r="B87" s="9">
        <v>86</v>
      </c>
      <c r="C87" s="9">
        <v>30583</v>
      </c>
      <c r="D87" s="9">
        <v>305830</v>
      </c>
      <c r="E87" s="9">
        <v>7251</v>
      </c>
      <c r="F87" s="9">
        <v>36255</v>
      </c>
      <c r="G87" s="9">
        <f t="shared" si="6"/>
        <v>678575604</v>
      </c>
      <c r="H87" s="9">
        <f t="shared" si="7"/>
        <v>6785756040</v>
      </c>
      <c r="I87" s="9">
        <f t="shared" si="8"/>
        <v>160885188</v>
      </c>
      <c r="J87" s="9">
        <f t="shared" si="9"/>
        <v>804425940</v>
      </c>
      <c r="K87" s="22">
        <f t="shared" si="10"/>
        <v>1357151208</v>
      </c>
    </row>
    <row r="88" spans="2:11" x14ac:dyDescent="0.3">
      <c r="B88" s="9">
        <v>87</v>
      </c>
      <c r="C88" s="9">
        <v>32113</v>
      </c>
      <c r="D88" s="9">
        <v>321130</v>
      </c>
      <c r="E88" s="9">
        <v>7422</v>
      </c>
      <c r="F88" s="9">
        <v>37110</v>
      </c>
      <c r="G88" s="9">
        <f t="shared" si="6"/>
        <v>729189891</v>
      </c>
      <c r="H88" s="9">
        <f t="shared" si="7"/>
        <v>7291898910</v>
      </c>
      <c r="I88" s="9">
        <f t="shared" si="8"/>
        <v>168531354</v>
      </c>
      <c r="J88" s="9">
        <f t="shared" si="9"/>
        <v>842656770</v>
      </c>
      <c r="K88" s="22">
        <f t="shared" si="10"/>
        <v>1458379782</v>
      </c>
    </row>
    <row r="89" spans="2:11" x14ac:dyDescent="0.3">
      <c r="B89" s="9">
        <v>88</v>
      </c>
      <c r="C89" s="9">
        <v>33719</v>
      </c>
      <c r="D89" s="9">
        <v>337190</v>
      </c>
      <c r="E89" s="9">
        <v>7595</v>
      </c>
      <c r="F89" s="9">
        <v>37975</v>
      </c>
      <c r="G89" s="9">
        <f t="shared" si="6"/>
        <v>783359808</v>
      </c>
      <c r="H89" s="9">
        <f t="shared" si="7"/>
        <v>7833598080</v>
      </c>
      <c r="I89" s="9">
        <f t="shared" si="8"/>
        <v>176447040</v>
      </c>
      <c r="J89" s="9">
        <f t="shared" si="9"/>
        <v>882235200</v>
      </c>
      <c r="K89" s="22">
        <f t="shared" si="10"/>
        <v>1566719616</v>
      </c>
    </row>
    <row r="90" spans="2:11" x14ac:dyDescent="0.3">
      <c r="B90" s="9">
        <v>89</v>
      </c>
      <c r="C90" s="9">
        <v>35405</v>
      </c>
      <c r="D90" s="9">
        <v>354050</v>
      </c>
      <c r="E90" s="9">
        <v>7771</v>
      </c>
      <c r="F90" s="9">
        <v>38855</v>
      </c>
      <c r="G90" s="9">
        <f t="shared" si="6"/>
        <v>841329015</v>
      </c>
      <c r="H90" s="9">
        <f t="shared" si="7"/>
        <v>8413290150</v>
      </c>
      <c r="I90" s="9">
        <f t="shared" si="8"/>
        <v>184662273</v>
      </c>
      <c r="J90" s="9">
        <f t="shared" si="9"/>
        <v>923311365</v>
      </c>
      <c r="K90" s="22">
        <f t="shared" si="10"/>
        <v>1682658030</v>
      </c>
    </row>
    <row r="91" spans="2:11" x14ac:dyDescent="0.3">
      <c r="B91" s="9">
        <v>90</v>
      </c>
      <c r="C91" s="9">
        <v>37176</v>
      </c>
      <c r="D91" s="9">
        <v>371760</v>
      </c>
      <c r="E91" s="9">
        <v>7948</v>
      </c>
      <c r="F91" s="9">
        <v>39740</v>
      </c>
      <c r="G91" s="9">
        <f t="shared" si="6"/>
        <v>903376800</v>
      </c>
      <c r="H91" s="9">
        <f t="shared" si="7"/>
        <v>9033768000</v>
      </c>
      <c r="I91" s="9">
        <f t="shared" si="8"/>
        <v>193136400</v>
      </c>
      <c r="J91" s="9">
        <f t="shared" si="9"/>
        <v>965682000</v>
      </c>
      <c r="K91" s="22">
        <f t="shared" si="10"/>
        <v>1806753600</v>
      </c>
    </row>
    <row r="92" spans="2:11" x14ac:dyDescent="0.3">
      <c r="B92" s="9">
        <v>91</v>
      </c>
      <c r="C92" s="9">
        <v>39035</v>
      </c>
      <c r="D92" s="9">
        <v>390350</v>
      </c>
      <c r="E92" s="9">
        <v>8127</v>
      </c>
      <c r="F92" s="9">
        <v>40635</v>
      </c>
      <c r="G92" s="9">
        <f t="shared" si="6"/>
        <v>969746505</v>
      </c>
      <c r="H92" s="9">
        <f t="shared" si="7"/>
        <v>9697465050</v>
      </c>
      <c r="I92" s="9">
        <f t="shared" si="8"/>
        <v>201899061</v>
      </c>
      <c r="J92" s="9">
        <f t="shared" si="9"/>
        <v>1009495305</v>
      </c>
      <c r="K92" s="22">
        <f t="shared" si="10"/>
        <v>1939493010</v>
      </c>
    </row>
    <row r="93" spans="2:11" x14ac:dyDescent="0.3">
      <c r="B93" s="9">
        <v>92</v>
      </c>
      <c r="C93" s="9">
        <v>40987</v>
      </c>
      <c r="D93" s="9">
        <v>409870</v>
      </c>
      <c r="E93" s="9">
        <v>8309</v>
      </c>
      <c r="F93" s="9">
        <v>41545</v>
      </c>
      <c r="G93" s="9">
        <f t="shared" si="6"/>
        <v>1040741904</v>
      </c>
      <c r="H93" s="9">
        <f t="shared" si="7"/>
        <v>10407419040</v>
      </c>
      <c r="I93" s="9">
        <f t="shared" si="8"/>
        <v>210982128</v>
      </c>
      <c r="J93" s="9">
        <f t="shared" si="9"/>
        <v>1054910640</v>
      </c>
      <c r="K93" s="22">
        <f t="shared" si="10"/>
        <v>2081483808</v>
      </c>
    </row>
    <row r="94" spans="2:11" x14ac:dyDescent="0.3">
      <c r="B94" s="9">
        <v>93</v>
      </c>
      <c r="C94" s="9">
        <v>43037</v>
      </c>
      <c r="D94" s="9">
        <v>430370</v>
      </c>
      <c r="E94" s="9">
        <v>8492</v>
      </c>
      <c r="F94" s="9">
        <v>42460</v>
      </c>
      <c r="G94" s="9">
        <f t="shared" si="6"/>
        <v>1116681039</v>
      </c>
      <c r="H94" s="9">
        <f t="shared" si="7"/>
        <v>11166810390</v>
      </c>
      <c r="I94" s="9">
        <f t="shared" si="8"/>
        <v>220341924</v>
      </c>
      <c r="J94" s="9">
        <f t="shared" si="9"/>
        <v>1101709620</v>
      </c>
      <c r="K94" s="22">
        <f t="shared" si="10"/>
        <v>2233362078</v>
      </c>
    </row>
    <row r="95" spans="2:11" x14ac:dyDescent="0.3">
      <c r="B95" s="9">
        <v>94</v>
      </c>
      <c r="C95" s="9">
        <v>45189</v>
      </c>
      <c r="D95" s="9">
        <v>451890</v>
      </c>
      <c r="E95" s="9">
        <v>8677</v>
      </c>
      <c r="F95" s="9">
        <v>43385</v>
      </c>
      <c r="G95" s="9">
        <f t="shared" si="6"/>
        <v>1197870012</v>
      </c>
      <c r="H95" s="9">
        <f t="shared" si="7"/>
        <v>11978700120</v>
      </c>
      <c r="I95" s="9">
        <f t="shared" si="8"/>
        <v>230009916</v>
      </c>
      <c r="J95" s="9">
        <f t="shared" si="9"/>
        <v>1150049580</v>
      </c>
      <c r="K95" s="22">
        <f t="shared" si="10"/>
        <v>2395740024</v>
      </c>
    </row>
    <row r="96" spans="2:11" x14ac:dyDescent="0.3">
      <c r="B96" s="9">
        <v>95</v>
      </c>
      <c r="C96" s="9">
        <v>47449</v>
      </c>
      <c r="D96" s="9">
        <v>474490</v>
      </c>
      <c r="E96" s="9">
        <v>8864</v>
      </c>
      <c r="F96" s="9">
        <v>44320</v>
      </c>
      <c r="G96" s="9">
        <f t="shared" si="6"/>
        <v>1284681675</v>
      </c>
      <c r="H96" s="9">
        <f t="shared" si="7"/>
        <v>12846816750</v>
      </c>
      <c r="I96" s="9">
        <f t="shared" si="8"/>
        <v>239992800</v>
      </c>
      <c r="J96" s="9">
        <f t="shared" si="9"/>
        <v>1199964000</v>
      </c>
      <c r="K96" s="22">
        <f t="shared" si="10"/>
        <v>2569363350</v>
      </c>
    </row>
    <row r="97" spans="2:11" x14ac:dyDescent="0.3">
      <c r="B97" s="9">
        <v>96</v>
      </c>
      <c r="C97" s="9">
        <v>49822</v>
      </c>
      <c r="D97" s="9">
        <v>498220</v>
      </c>
      <c r="E97" s="9">
        <v>9054</v>
      </c>
      <c r="F97" s="9">
        <v>45270</v>
      </c>
      <c r="G97" s="9">
        <f t="shared" si="6"/>
        <v>1377478656</v>
      </c>
      <c r="H97" s="9">
        <f t="shared" si="7"/>
        <v>13774786560</v>
      </c>
      <c r="I97" s="9">
        <f t="shared" si="8"/>
        <v>250324992</v>
      </c>
      <c r="J97" s="9">
        <f t="shared" si="9"/>
        <v>1251624960</v>
      </c>
      <c r="K97" s="22">
        <f t="shared" si="10"/>
        <v>2754957312</v>
      </c>
    </row>
    <row r="98" spans="2:11" x14ac:dyDescent="0.3">
      <c r="B98" s="9">
        <v>97</v>
      </c>
      <c r="C98" s="9">
        <v>52314</v>
      </c>
      <c r="D98" s="9">
        <v>523140</v>
      </c>
      <c r="E98" s="9">
        <v>9245</v>
      </c>
      <c r="F98" s="9">
        <v>46225</v>
      </c>
      <c r="G98" s="9">
        <f t="shared" si="6"/>
        <v>1476667278</v>
      </c>
      <c r="H98" s="9">
        <f t="shared" si="7"/>
        <v>14766672780</v>
      </c>
      <c r="I98" s="9">
        <f t="shared" si="8"/>
        <v>260958615</v>
      </c>
      <c r="J98" s="9">
        <f t="shared" si="9"/>
        <v>1304793075</v>
      </c>
      <c r="K98" s="22">
        <f t="shared" si="10"/>
        <v>2953334556</v>
      </c>
    </row>
    <row r="99" spans="2:11" x14ac:dyDescent="0.3">
      <c r="B99" s="9">
        <v>98</v>
      </c>
      <c r="C99" s="9">
        <v>54930</v>
      </c>
      <c r="D99" s="9">
        <v>549300</v>
      </c>
      <c r="E99" s="9">
        <v>9438</v>
      </c>
      <c r="F99" s="9">
        <v>47190</v>
      </c>
      <c r="G99" s="9">
        <f t="shared" si="6"/>
        <v>1582643160</v>
      </c>
      <c r="H99" s="9">
        <f t="shared" si="7"/>
        <v>15826431600</v>
      </c>
      <c r="I99" s="9">
        <f t="shared" si="8"/>
        <v>271927656</v>
      </c>
      <c r="J99" s="9">
        <f t="shared" si="9"/>
        <v>1359638280</v>
      </c>
      <c r="K99" s="22">
        <f t="shared" si="10"/>
        <v>3165286320</v>
      </c>
    </row>
    <row r="100" spans="2:11" x14ac:dyDescent="0.3">
      <c r="B100" s="9">
        <v>99</v>
      </c>
      <c r="C100" s="9">
        <v>57677</v>
      </c>
      <c r="D100" s="9">
        <v>576770</v>
      </c>
      <c r="E100" s="9">
        <v>9634</v>
      </c>
      <c r="F100" s="9">
        <v>48170</v>
      </c>
      <c r="G100" s="9">
        <f t="shared" si="6"/>
        <v>1695876831</v>
      </c>
      <c r="H100" s="9">
        <f t="shared" si="7"/>
        <v>16958768310</v>
      </c>
      <c r="I100" s="9">
        <f t="shared" si="8"/>
        <v>283268502</v>
      </c>
      <c r="J100" s="9">
        <f t="shared" si="9"/>
        <v>1416342510</v>
      </c>
      <c r="K100" s="22">
        <f t="shared" si="10"/>
        <v>3391753662</v>
      </c>
    </row>
    <row r="101" spans="2:11" x14ac:dyDescent="0.3">
      <c r="B101" s="9">
        <v>100</v>
      </c>
      <c r="C101" s="9">
        <v>60561</v>
      </c>
      <c r="D101" s="9">
        <v>605610</v>
      </c>
      <c r="E101" s="9">
        <v>9831</v>
      </c>
      <c r="F101" s="9">
        <v>49155</v>
      </c>
      <c r="G101" s="9">
        <f t="shared" si="6"/>
        <v>1816830000</v>
      </c>
      <c r="H101" s="9">
        <f t="shared" si="7"/>
        <v>18168300000</v>
      </c>
      <c r="I101" s="9">
        <f t="shared" si="8"/>
        <v>294930000</v>
      </c>
      <c r="J101" s="9">
        <f t="shared" si="9"/>
        <v>1474650000</v>
      </c>
      <c r="K101" s="22">
        <f t="shared" si="10"/>
        <v>3633660000</v>
      </c>
    </row>
    <row r="102" spans="2:11" x14ac:dyDescent="0.3">
      <c r="B102" s="9">
        <v>101</v>
      </c>
      <c r="C102" s="9">
        <v>63590</v>
      </c>
      <c r="D102" s="9">
        <v>635900</v>
      </c>
      <c r="E102" s="9">
        <v>10030</v>
      </c>
      <c r="F102" s="9">
        <v>50150</v>
      </c>
      <c r="G102" s="9">
        <f t="shared" si="6"/>
        <v>1946044770</v>
      </c>
      <c r="H102" s="9">
        <f t="shared" si="7"/>
        <v>19460447700</v>
      </c>
      <c r="I102" s="9">
        <f t="shared" si="8"/>
        <v>306948090</v>
      </c>
      <c r="J102" s="9">
        <f t="shared" si="9"/>
        <v>1534740450</v>
      </c>
      <c r="K102" s="22">
        <f t="shared" si="10"/>
        <v>3892089540</v>
      </c>
    </row>
    <row r="103" spans="2:11" x14ac:dyDescent="0.3">
      <c r="B103" s="9">
        <v>102</v>
      </c>
      <c r="C103" s="9">
        <v>66134</v>
      </c>
      <c r="D103" s="9">
        <v>661340</v>
      </c>
      <c r="E103" s="9">
        <v>10232</v>
      </c>
      <c r="F103" s="9">
        <v>51160</v>
      </c>
      <c r="G103" s="9">
        <f t="shared" si="6"/>
        <v>2064174408</v>
      </c>
      <c r="H103" s="9">
        <f t="shared" si="7"/>
        <v>20641744080</v>
      </c>
      <c r="I103" s="9">
        <f t="shared" si="8"/>
        <v>319361184</v>
      </c>
      <c r="J103" s="9">
        <f t="shared" si="9"/>
        <v>1596805920</v>
      </c>
      <c r="K103" s="22">
        <f t="shared" si="10"/>
        <v>4128348816</v>
      </c>
    </row>
    <row r="104" spans="2:11" x14ac:dyDescent="0.3">
      <c r="B104" s="9">
        <v>103</v>
      </c>
      <c r="C104" s="9">
        <v>68780</v>
      </c>
      <c r="D104" s="9">
        <v>687800</v>
      </c>
      <c r="E104" s="9">
        <v>10435</v>
      </c>
      <c r="F104" s="9">
        <v>52175</v>
      </c>
      <c r="G104" s="9">
        <f t="shared" si="6"/>
        <v>2189061060</v>
      </c>
      <c r="H104" s="9">
        <f t="shared" si="7"/>
        <v>21890610600</v>
      </c>
      <c r="I104" s="9">
        <f t="shared" si="8"/>
        <v>332114745</v>
      </c>
      <c r="J104" s="9">
        <f t="shared" si="9"/>
        <v>1660573725</v>
      </c>
      <c r="K104" s="22">
        <f t="shared" si="10"/>
        <v>4378122120</v>
      </c>
    </row>
    <row r="105" spans="2:11" x14ac:dyDescent="0.3">
      <c r="B105" s="9">
        <v>104</v>
      </c>
      <c r="C105" s="9">
        <v>71532</v>
      </c>
      <c r="D105" s="9">
        <v>715320</v>
      </c>
      <c r="E105" s="9">
        <v>10640</v>
      </c>
      <c r="F105" s="9">
        <v>53200</v>
      </c>
      <c r="G105" s="9">
        <f t="shared" si="6"/>
        <v>2321070336</v>
      </c>
      <c r="H105" s="9">
        <f t="shared" si="7"/>
        <v>23210703360</v>
      </c>
      <c r="I105" s="9">
        <f t="shared" si="8"/>
        <v>345246720</v>
      </c>
      <c r="J105" s="9">
        <f t="shared" si="9"/>
        <v>1726233600</v>
      </c>
      <c r="K105" s="22">
        <f t="shared" si="10"/>
        <v>4642140672</v>
      </c>
    </row>
    <row r="106" spans="2:11" x14ac:dyDescent="0.3">
      <c r="B106" s="9">
        <v>105</v>
      </c>
      <c r="C106" s="9">
        <v>74394</v>
      </c>
      <c r="D106" s="9">
        <v>743940</v>
      </c>
      <c r="E106" s="9">
        <v>10848</v>
      </c>
      <c r="F106" s="9">
        <v>54240</v>
      </c>
      <c r="G106" s="9">
        <f t="shared" si="6"/>
        <v>2460581550</v>
      </c>
      <c r="H106" s="9">
        <f t="shared" si="7"/>
        <v>24605815500</v>
      </c>
      <c r="I106" s="9">
        <f t="shared" si="8"/>
        <v>358797600</v>
      </c>
      <c r="J106" s="9">
        <f t="shared" si="9"/>
        <v>1793988000</v>
      </c>
      <c r="K106" s="22">
        <f t="shared" si="10"/>
        <v>4921163100</v>
      </c>
    </row>
    <row r="107" spans="2:11" x14ac:dyDescent="0.3">
      <c r="B107" s="9">
        <v>106</v>
      </c>
      <c r="C107" s="9">
        <v>77370</v>
      </c>
      <c r="D107" s="9">
        <v>773700</v>
      </c>
      <c r="E107" s="9">
        <v>11057</v>
      </c>
      <c r="F107" s="9">
        <v>55285</v>
      </c>
      <c r="G107" s="9">
        <f t="shared" si="6"/>
        <v>2607987960</v>
      </c>
      <c r="H107" s="9">
        <f t="shared" si="7"/>
        <v>26079879600</v>
      </c>
      <c r="I107" s="9">
        <f t="shared" si="8"/>
        <v>372709356</v>
      </c>
      <c r="J107" s="9">
        <f t="shared" si="9"/>
        <v>1863546780</v>
      </c>
      <c r="K107" s="22">
        <f t="shared" si="10"/>
        <v>5215975920</v>
      </c>
    </row>
    <row r="108" spans="2:11" x14ac:dyDescent="0.3">
      <c r="B108" s="9">
        <v>107</v>
      </c>
      <c r="C108" s="9">
        <v>80465</v>
      </c>
      <c r="D108" s="9">
        <v>804650</v>
      </c>
      <c r="E108" s="9">
        <v>11268</v>
      </c>
      <c r="F108" s="9">
        <v>56340</v>
      </c>
      <c r="G108" s="9">
        <f t="shared" si="6"/>
        <v>2763731355</v>
      </c>
      <c r="H108" s="9">
        <f t="shared" si="7"/>
        <v>27637313550</v>
      </c>
      <c r="I108" s="9">
        <f t="shared" si="8"/>
        <v>387021996</v>
      </c>
      <c r="J108" s="9">
        <f t="shared" si="9"/>
        <v>1935109980</v>
      </c>
      <c r="K108" s="22">
        <f t="shared" si="10"/>
        <v>5527462710</v>
      </c>
    </row>
    <row r="109" spans="2:11" x14ac:dyDescent="0.3">
      <c r="B109" s="9">
        <v>108</v>
      </c>
      <c r="C109" s="9">
        <v>83684</v>
      </c>
      <c r="D109" s="9">
        <v>836840</v>
      </c>
      <c r="E109" s="9">
        <v>11482</v>
      </c>
      <c r="F109" s="9">
        <v>57410</v>
      </c>
      <c r="G109" s="9">
        <f t="shared" si="6"/>
        <v>2928270528</v>
      </c>
      <c r="H109" s="9">
        <f t="shared" si="7"/>
        <v>29282705280</v>
      </c>
      <c r="I109" s="9">
        <f t="shared" si="8"/>
        <v>401778144</v>
      </c>
      <c r="J109" s="9">
        <f t="shared" si="9"/>
        <v>2008890720</v>
      </c>
      <c r="K109" s="22">
        <f t="shared" si="10"/>
        <v>5856541056</v>
      </c>
    </row>
    <row r="110" spans="2:11" x14ac:dyDescent="0.3">
      <c r="B110" s="9">
        <v>109</v>
      </c>
      <c r="C110" s="9">
        <v>87032</v>
      </c>
      <c r="D110" s="9">
        <v>870320</v>
      </c>
      <c r="E110" s="9">
        <v>11697</v>
      </c>
      <c r="F110" s="9">
        <v>58485</v>
      </c>
      <c r="G110" s="9">
        <f t="shared" si="6"/>
        <v>3102081576</v>
      </c>
      <c r="H110" s="9">
        <f t="shared" si="7"/>
        <v>31020815760</v>
      </c>
      <c r="I110" s="9">
        <f t="shared" si="8"/>
        <v>416916171</v>
      </c>
      <c r="J110" s="9">
        <f t="shared" si="9"/>
        <v>2084580855</v>
      </c>
      <c r="K110" s="22">
        <f t="shared" si="10"/>
        <v>6204163152</v>
      </c>
    </row>
    <row r="111" spans="2:11" x14ac:dyDescent="0.3">
      <c r="B111" s="9">
        <v>110</v>
      </c>
      <c r="C111" s="9">
        <v>90514</v>
      </c>
      <c r="D111" s="9">
        <v>905140</v>
      </c>
      <c r="E111" s="9">
        <v>11914</v>
      </c>
      <c r="F111" s="9">
        <v>59570</v>
      </c>
      <c r="G111" s="9">
        <f t="shared" si="6"/>
        <v>3285658200</v>
      </c>
      <c r="H111" s="9">
        <f t="shared" si="7"/>
        <v>32856582000</v>
      </c>
      <c r="I111" s="9">
        <f t="shared" si="8"/>
        <v>432478200</v>
      </c>
      <c r="J111" s="9">
        <f t="shared" si="9"/>
        <v>2162391000</v>
      </c>
      <c r="K111" s="22">
        <f t="shared" si="10"/>
        <v>6571316400</v>
      </c>
    </row>
    <row r="112" spans="2:11" x14ac:dyDescent="0.3">
      <c r="B112" s="9">
        <v>111</v>
      </c>
      <c r="C112" s="9">
        <v>94135</v>
      </c>
      <c r="D112" s="9">
        <v>941350</v>
      </c>
      <c r="E112" s="9">
        <v>12134</v>
      </c>
      <c r="F112" s="9">
        <v>60670</v>
      </c>
      <c r="G112" s="9">
        <f t="shared" si="6"/>
        <v>3479512005</v>
      </c>
      <c r="H112" s="9">
        <f t="shared" si="7"/>
        <v>34795120050</v>
      </c>
      <c r="I112" s="9">
        <f t="shared" si="8"/>
        <v>448509042</v>
      </c>
      <c r="J112" s="9">
        <f t="shared" si="9"/>
        <v>2242545210</v>
      </c>
      <c r="K112" s="22">
        <f t="shared" si="10"/>
        <v>6959024010</v>
      </c>
    </row>
    <row r="113" spans="2:11" x14ac:dyDescent="0.3">
      <c r="B113" s="9">
        <v>112</v>
      </c>
      <c r="C113" s="9">
        <v>97901</v>
      </c>
      <c r="D113" s="9">
        <v>979010</v>
      </c>
      <c r="E113" s="9">
        <v>12355</v>
      </c>
      <c r="F113" s="9">
        <v>61775</v>
      </c>
      <c r="G113" s="9">
        <f t="shared" si="6"/>
        <v>3684210432</v>
      </c>
      <c r="H113" s="9">
        <f t="shared" si="7"/>
        <v>36842104320</v>
      </c>
      <c r="I113" s="9">
        <f t="shared" si="8"/>
        <v>464943360</v>
      </c>
      <c r="J113" s="9">
        <f t="shared" si="9"/>
        <v>2324716800</v>
      </c>
      <c r="K113" s="22">
        <f t="shared" si="10"/>
        <v>7368420864</v>
      </c>
    </row>
    <row r="114" spans="2:11" x14ac:dyDescent="0.3">
      <c r="B114" s="9">
        <v>113</v>
      </c>
      <c r="C114" s="9">
        <v>101818</v>
      </c>
      <c r="D114" s="9">
        <v>1018180</v>
      </c>
      <c r="E114" s="9">
        <v>12579</v>
      </c>
      <c r="F114" s="9">
        <v>62895</v>
      </c>
      <c r="G114" s="9">
        <f t="shared" si="6"/>
        <v>3900342126</v>
      </c>
      <c r="H114" s="9">
        <f t="shared" si="7"/>
        <v>39003421260</v>
      </c>
      <c r="I114" s="9">
        <f t="shared" si="8"/>
        <v>481863753</v>
      </c>
      <c r="J114" s="9">
        <f t="shared" si="9"/>
        <v>2409318765</v>
      </c>
      <c r="K114" s="22">
        <f t="shared" si="10"/>
        <v>7800684252</v>
      </c>
    </row>
    <row r="115" spans="2:11" x14ac:dyDescent="0.3">
      <c r="B115" s="9">
        <v>114</v>
      </c>
      <c r="C115" s="9">
        <v>105891</v>
      </c>
      <c r="D115" s="9">
        <v>1058910</v>
      </c>
      <c r="E115" s="9">
        <v>12804</v>
      </c>
      <c r="F115" s="9">
        <v>64020</v>
      </c>
      <c r="G115" s="9">
        <f t="shared" si="6"/>
        <v>4128478308</v>
      </c>
      <c r="H115" s="9">
        <f t="shared" si="7"/>
        <v>41284783080</v>
      </c>
      <c r="I115" s="9">
        <f t="shared" si="8"/>
        <v>499202352</v>
      </c>
      <c r="J115" s="9">
        <f t="shared" si="9"/>
        <v>2496011760</v>
      </c>
      <c r="K115" s="22">
        <f t="shared" si="10"/>
        <v>8256956616</v>
      </c>
    </row>
    <row r="116" spans="2:11" x14ac:dyDescent="0.3">
      <c r="B116" s="9">
        <v>115</v>
      </c>
      <c r="C116" s="9">
        <v>110127</v>
      </c>
      <c r="D116" s="9">
        <v>1101270</v>
      </c>
      <c r="E116" s="9">
        <v>13031</v>
      </c>
      <c r="F116" s="9">
        <v>65155</v>
      </c>
      <c r="G116" s="9">
        <f t="shared" si="6"/>
        <v>4369288725</v>
      </c>
      <c r="H116" s="9">
        <f t="shared" si="7"/>
        <v>43692887250</v>
      </c>
      <c r="I116" s="9">
        <f t="shared" si="8"/>
        <v>517004925</v>
      </c>
      <c r="J116" s="9">
        <f t="shared" si="9"/>
        <v>2585024625</v>
      </c>
      <c r="K116" s="22">
        <f t="shared" si="10"/>
        <v>8738577450</v>
      </c>
    </row>
    <row r="117" spans="2:11" x14ac:dyDescent="0.3">
      <c r="B117" s="9">
        <v>116</v>
      </c>
      <c r="C117" s="9">
        <v>114533</v>
      </c>
      <c r="D117" s="9">
        <v>1145330</v>
      </c>
      <c r="E117" s="9">
        <v>13261</v>
      </c>
      <c r="F117" s="9">
        <v>66305</v>
      </c>
      <c r="G117" s="9">
        <f t="shared" si="6"/>
        <v>4623468144</v>
      </c>
      <c r="H117" s="9">
        <f t="shared" si="7"/>
        <v>46234681440</v>
      </c>
      <c r="I117" s="9">
        <f t="shared" si="8"/>
        <v>535320048</v>
      </c>
      <c r="J117" s="9">
        <f t="shared" si="9"/>
        <v>2676600240</v>
      </c>
      <c r="K117" s="22">
        <f t="shared" si="10"/>
        <v>9246936288</v>
      </c>
    </row>
    <row r="118" spans="2:11" x14ac:dyDescent="0.3">
      <c r="B118" s="9">
        <v>117</v>
      </c>
      <c r="C118" s="9">
        <v>119115</v>
      </c>
      <c r="D118" s="9">
        <v>1191150</v>
      </c>
      <c r="E118" s="9">
        <v>13492</v>
      </c>
      <c r="F118" s="9">
        <v>67460</v>
      </c>
      <c r="G118" s="9">
        <f t="shared" si="6"/>
        <v>4891695705</v>
      </c>
      <c r="H118" s="9">
        <f t="shared" si="7"/>
        <v>48916957050</v>
      </c>
      <c r="I118" s="9">
        <f t="shared" si="8"/>
        <v>554075964</v>
      </c>
      <c r="J118" s="9">
        <f t="shared" si="9"/>
        <v>2770379820</v>
      </c>
      <c r="K118" s="22">
        <f t="shared" si="10"/>
        <v>9783391410</v>
      </c>
    </row>
    <row r="119" spans="2:11" x14ac:dyDescent="0.3">
      <c r="B119" s="9">
        <v>118</v>
      </c>
      <c r="C119" s="9">
        <v>123880</v>
      </c>
      <c r="D119" s="9">
        <v>1238800</v>
      </c>
      <c r="E119" s="9">
        <v>13725</v>
      </c>
      <c r="F119" s="9">
        <v>68625</v>
      </c>
      <c r="G119" s="9">
        <f t="shared" si="6"/>
        <v>5174715360</v>
      </c>
      <c r="H119" s="9">
        <f t="shared" si="7"/>
        <v>51747153600</v>
      </c>
      <c r="I119" s="9">
        <f t="shared" si="8"/>
        <v>573320700</v>
      </c>
      <c r="J119" s="9">
        <f t="shared" si="9"/>
        <v>2866603500</v>
      </c>
      <c r="K119" s="22">
        <f t="shared" si="10"/>
        <v>10349430720</v>
      </c>
    </row>
    <row r="120" spans="2:11" x14ac:dyDescent="0.3">
      <c r="B120" s="9">
        <v>119</v>
      </c>
      <c r="C120" s="9">
        <v>128836</v>
      </c>
      <c r="D120" s="9">
        <v>1288360</v>
      </c>
      <c r="E120" s="9">
        <v>13961</v>
      </c>
      <c r="F120" s="9">
        <v>69805</v>
      </c>
      <c r="G120" s="9">
        <f t="shared" si="6"/>
        <v>5473339788</v>
      </c>
      <c r="H120" s="9">
        <f t="shared" si="7"/>
        <v>54733397880</v>
      </c>
      <c r="I120" s="9">
        <f t="shared" si="8"/>
        <v>593105163</v>
      </c>
      <c r="J120" s="9">
        <f t="shared" si="9"/>
        <v>2965525815</v>
      </c>
      <c r="K120" s="22">
        <f t="shared" si="10"/>
        <v>10946679576</v>
      </c>
    </row>
    <row r="121" spans="2:11" x14ac:dyDescent="0.3">
      <c r="B121" s="9">
        <v>120</v>
      </c>
      <c r="C121" s="9">
        <v>133990</v>
      </c>
      <c r="D121" s="9">
        <v>1339900</v>
      </c>
      <c r="E121" s="9">
        <v>14198</v>
      </c>
      <c r="F121" s="9">
        <v>70990</v>
      </c>
      <c r="G121" s="9">
        <f t="shared" si="6"/>
        <v>5788368000</v>
      </c>
      <c r="H121" s="9">
        <f t="shared" si="7"/>
        <v>57883680000</v>
      </c>
      <c r="I121" s="9">
        <f t="shared" si="8"/>
        <v>613353600</v>
      </c>
      <c r="J121" s="9">
        <f t="shared" si="9"/>
        <v>3066768000</v>
      </c>
      <c r="K121" s="22">
        <f t="shared" si="10"/>
        <v>11576736000</v>
      </c>
    </row>
    <row r="122" spans="2:11" x14ac:dyDescent="0.3">
      <c r="B122" s="9">
        <v>121</v>
      </c>
      <c r="C122" s="9">
        <v>139350</v>
      </c>
      <c r="D122" s="9">
        <v>1393500</v>
      </c>
      <c r="E122" s="9">
        <v>14438</v>
      </c>
      <c r="F122" s="9">
        <v>72190</v>
      </c>
      <c r="G122" s="9">
        <f t="shared" si="6"/>
        <v>6120670050</v>
      </c>
      <c r="H122" s="9">
        <f t="shared" si="7"/>
        <v>61206700500</v>
      </c>
      <c r="I122" s="9">
        <f t="shared" si="8"/>
        <v>634160274</v>
      </c>
      <c r="J122" s="9">
        <f t="shared" si="9"/>
        <v>3170801370</v>
      </c>
      <c r="K122" s="22">
        <f t="shared" si="10"/>
        <v>12241340100</v>
      </c>
    </row>
    <row r="123" spans="2:11" x14ac:dyDescent="0.3">
      <c r="B123" s="9">
        <v>122</v>
      </c>
      <c r="C123" s="9">
        <v>144924</v>
      </c>
      <c r="D123" s="9">
        <v>1449240</v>
      </c>
      <c r="E123" s="9">
        <v>14679</v>
      </c>
      <c r="F123" s="9">
        <v>73395</v>
      </c>
      <c r="G123" s="9">
        <f t="shared" si="6"/>
        <v>6471146448</v>
      </c>
      <c r="H123" s="9">
        <f t="shared" si="7"/>
        <v>64711464480</v>
      </c>
      <c r="I123" s="9">
        <f t="shared" si="8"/>
        <v>655446708</v>
      </c>
      <c r="J123" s="9">
        <f t="shared" si="9"/>
        <v>3277233540</v>
      </c>
      <c r="K123" s="22">
        <f t="shared" si="10"/>
        <v>12942292896</v>
      </c>
    </row>
    <row r="124" spans="2:11" x14ac:dyDescent="0.3">
      <c r="B124" s="9">
        <v>123</v>
      </c>
      <c r="C124" s="9">
        <v>150721</v>
      </c>
      <c r="D124" s="9">
        <v>1507210</v>
      </c>
      <c r="E124" s="9">
        <v>14922</v>
      </c>
      <c r="F124" s="9">
        <v>74610</v>
      </c>
      <c r="G124" s="9">
        <f t="shared" si="6"/>
        <v>6840774027</v>
      </c>
      <c r="H124" s="9">
        <f t="shared" si="7"/>
        <v>68407740270</v>
      </c>
      <c r="I124" s="9">
        <f t="shared" si="8"/>
        <v>677264814</v>
      </c>
      <c r="J124" s="9">
        <f t="shared" si="9"/>
        <v>3386324070</v>
      </c>
      <c r="K124" s="22">
        <f t="shared" si="10"/>
        <v>13681548054</v>
      </c>
    </row>
    <row r="125" spans="2:11" x14ac:dyDescent="0.3">
      <c r="B125" s="9">
        <v>124</v>
      </c>
      <c r="C125" s="9">
        <v>156750</v>
      </c>
      <c r="D125" s="9">
        <v>1567500</v>
      </c>
      <c r="E125" s="9">
        <v>15168</v>
      </c>
      <c r="F125" s="9">
        <v>75840</v>
      </c>
      <c r="G125" s="9">
        <f t="shared" si="6"/>
        <v>7230564000</v>
      </c>
      <c r="H125" s="9">
        <f t="shared" si="7"/>
        <v>72305640000</v>
      </c>
      <c r="I125" s="9">
        <f t="shared" si="8"/>
        <v>699669504</v>
      </c>
      <c r="J125" s="9">
        <f t="shared" si="9"/>
        <v>3498347520</v>
      </c>
      <c r="K125" s="22">
        <f t="shared" si="10"/>
        <v>14461128000</v>
      </c>
    </row>
    <row r="126" spans="2:11" x14ac:dyDescent="0.3">
      <c r="B126" s="9">
        <v>125</v>
      </c>
      <c r="C126" s="9">
        <v>163020</v>
      </c>
      <c r="D126" s="9">
        <v>1630200</v>
      </c>
      <c r="E126" s="9">
        <v>15415</v>
      </c>
      <c r="F126" s="9">
        <v>77075</v>
      </c>
      <c r="G126" s="9">
        <f t="shared" si="6"/>
        <v>7641562500</v>
      </c>
      <c r="H126" s="9">
        <f t="shared" si="7"/>
        <v>76415625000</v>
      </c>
      <c r="I126" s="9">
        <f t="shared" si="8"/>
        <v>722578125</v>
      </c>
      <c r="J126" s="9">
        <f t="shared" si="9"/>
        <v>3612890625</v>
      </c>
      <c r="K126" s="22">
        <f t="shared" si="10"/>
        <v>15283125000</v>
      </c>
    </row>
    <row r="127" spans="2:11" x14ac:dyDescent="0.3">
      <c r="B127" s="9">
        <v>126</v>
      </c>
      <c r="C127" s="9">
        <v>169541</v>
      </c>
      <c r="D127" s="9">
        <v>1695410</v>
      </c>
      <c r="E127" s="9">
        <v>15665</v>
      </c>
      <c r="F127" s="9">
        <v>78325</v>
      </c>
      <c r="G127" s="9">
        <f t="shared" si="6"/>
        <v>8074898748</v>
      </c>
      <c r="H127" s="9">
        <f t="shared" si="7"/>
        <v>80748987480</v>
      </c>
      <c r="I127" s="9">
        <f t="shared" si="8"/>
        <v>746092620</v>
      </c>
      <c r="J127" s="9">
        <f t="shared" si="9"/>
        <v>3730463100</v>
      </c>
      <c r="K127" s="22">
        <f t="shared" si="10"/>
        <v>16149797496</v>
      </c>
    </row>
    <row r="128" spans="2:11" x14ac:dyDescent="0.3">
      <c r="B128" s="9">
        <v>127</v>
      </c>
      <c r="C128" s="9">
        <v>176323</v>
      </c>
      <c r="D128" s="9">
        <v>1763230</v>
      </c>
      <c r="E128" s="9">
        <v>15916</v>
      </c>
      <c r="F128" s="9">
        <v>79580</v>
      </c>
      <c r="G128" s="9">
        <f t="shared" si="6"/>
        <v>8531741001</v>
      </c>
      <c r="H128" s="9">
        <f t="shared" si="7"/>
        <v>85317410010</v>
      </c>
      <c r="I128" s="9">
        <f t="shared" si="8"/>
        <v>770127492</v>
      </c>
      <c r="J128" s="9">
        <f t="shared" si="9"/>
        <v>3850637460</v>
      </c>
      <c r="K128" s="22">
        <f t="shared" si="10"/>
        <v>17063482002</v>
      </c>
    </row>
    <row r="129" spans="2:11" x14ac:dyDescent="0.3">
      <c r="B129" s="9">
        <v>128</v>
      </c>
      <c r="C129" s="9">
        <v>183376</v>
      </c>
      <c r="D129" s="9">
        <v>1833760</v>
      </c>
      <c r="E129" s="9">
        <v>16170</v>
      </c>
      <c r="F129" s="9">
        <v>80850</v>
      </c>
      <c r="G129" s="9">
        <f t="shared" si="6"/>
        <v>9013297152</v>
      </c>
      <c r="H129" s="9">
        <f t="shared" si="7"/>
        <v>90132971520</v>
      </c>
      <c r="I129" s="9">
        <f t="shared" si="8"/>
        <v>794787840</v>
      </c>
      <c r="J129" s="9">
        <f t="shared" si="9"/>
        <v>3973939200</v>
      </c>
      <c r="K129" s="22">
        <f t="shared" si="10"/>
        <v>18026594304</v>
      </c>
    </row>
    <row r="130" spans="2:11" x14ac:dyDescent="0.3">
      <c r="B130" s="9">
        <v>129</v>
      </c>
      <c r="C130" s="9">
        <v>190712</v>
      </c>
      <c r="D130" s="9">
        <v>1907120</v>
      </c>
      <c r="E130" s="9">
        <v>16425</v>
      </c>
      <c r="F130" s="9">
        <v>82125</v>
      </c>
      <c r="G130" s="9">
        <f t="shared" si="6"/>
        <v>9520915176</v>
      </c>
      <c r="H130" s="9">
        <f t="shared" si="7"/>
        <v>95209151760</v>
      </c>
      <c r="I130" s="9">
        <f t="shared" si="8"/>
        <v>819985275</v>
      </c>
      <c r="J130" s="9">
        <f t="shared" si="9"/>
        <v>4099926375</v>
      </c>
      <c r="K130" s="22">
        <f t="shared" si="10"/>
        <v>19041830352</v>
      </c>
    </row>
    <row r="131" spans="2:11" x14ac:dyDescent="0.3">
      <c r="B131" s="9">
        <v>130</v>
      </c>
      <c r="C131" s="9">
        <v>198341</v>
      </c>
      <c r="D131" s="9">
        <v>1983410</v>
      </c>
      <c r="E131" s="9">
        <v>16683</v>
      </c>
      <c r="F131" s="9">
        <v>83415</v>
      </c>
      <c r="G131" s="9">
        <f t="shared" si="6"/>
        <v>10055888700</v>
      </c>
      <c r="H131" s="9">
        <f t="shared" si="7"/>
        <v>100558887000</v>
      </c>
      <c r="I131" s="9">
        <f t="shared" si="8"/>
        <v>845828100</v>
      </c>
      <c r="J131" s="9">
        <f t="shared" si="9"/>
        <v>4229140500</v>
      </c>
      <c r="K131" s="22">
        <f t="shared" si="10"/>
        <v>20111777400</v>
      </c>
    </row>
    <row r="132" spans="2:11" x14ac:dyDescent="0.3">
      <c r="B132" s="9">
        <v>131</v>
      </c>
      <c r="C132" s="9">
        <v>206275</v>
      </c>
      <c r="D132" s="9">
        <v>2062750</v>
      </c>
      <c r="E132" s="9">
        <v>16942</v>
      </c>
      <c r="F132" s="9">
        <v>84710</v>
      </c>
      <c r="G132" s="9">
        <f t="shared" ref="G132:G195" si="11">C132*$B132*($B132*3)</f>
        <v>10619655825</v>
      </c>
      <c r="H132" s="9">
        <f t="shared" ref="H132:H195" si="12">D132*$B132*($B132*3)</f>
        <v>106196558250</v>
      </c>
      <c r="I132" s="9">
        <f t="shared" ref="I132:I195" si="13">E132*$B132*($B132*3)</f>
        <v>872224986</v>
      </c>
      <c r="J132" s="9">
        <f t="shared" ref="J132:J195" si="14">F132*$B132*($B132*3)</f>
        <v>4361124930</v>
      </c>
      <c r="K132" s="22">
        <f t="shared" ref="K132:K195" si="15">G132*2</f>
        <v>21239311650</v>
      </c>
    </row>
    <row r="133" spans="2:11" x14ac:dyDescent="0.3">
      <c r="B133" s="9">
        <v>132</v>
      </c>
      <c r="C133" s="9">
        <v>214526</v>
      </c>
      <c r="D133" s="9">
        <v>2145260</v>
      </c>
      <c r="E133" s="9">
        <v>17203</v>
      </c>
      <c r="F133" s="9">
        <v>86015</v>
      </c>
      <c r="G133" s="9">
        <f t="shared" si="11"/>
        <v>11213703072</v>
      </c>
      <c r="H133" s="9">
        <f t="shared" si="12"/>
        <v>112137030720</v>
      </c>
      <c r="I133" s="9">
        <f t="shared" si="13"/>
        <v>899235216</v>
      </c>
      <c r="J133" s="9">
        <f t="shared" si="14"/>
        <v>4496176080</v>
      </c>
      <c r="K133" s="22">
        <f t="shared" si="15"/>
        <v>22427406144</v>
      </c>
    </row>
    <row r="134" spans="2:11" x14ac:dyDescent="0.3">
      <c r="B134" s="9">
        <v>133</v>
      </c>
      <c r="C134" s="9">
        <v>223108</v>
      </c>
      <c r="D134" s="9">
        <v>2231080</v>
      </c>
      <c r="E134" s="9">
        <v>17467</v>
      </c>
      <c r="F134" s="9">
        <v>87335</v>
      </c>
      <c r="G134" s="9">
        <f t="shared" si="11"/>
        <v>11839672236</v>
      </c>
      <c r="H134" s="9">
        <f t="shared" si="12"/>
        <v>118396722360</v>
      </c>
      <c r="I134" s="9">
        <f t="shared" si="13"/>
        <v>926921289</v>
      </c>
      <c r="J134" s="9">
        <f t="shared" si="14"/>
        <v>4634606445</v>
      </c>
      <c r="K134" s="22">
        <f t="shared" si="15"/>
        <v>23679344472</v>
      </c>
    </row>
    <row r="135" spans="2:11" x14ac:dyDescent="0.3">
      <c r="B135" s="9">
        <v>134</v>
      </c>
      <c r="C135" s="9">
        <v>232033</v>
      </c>
      <c r="D135" s="9">
        <v>2320330</v>
      </c>
      <c r="E135" s="9">
        <v>17732</v>
      </c>
      <c r="F135" s="9">
        <v>88660</v>
      </c>
      <c r="G135" s="9">
        <f t="shared" si="11"/>
        <v>12499153644</v>
      </c>
      <c r="H135" s="9">
        <f t="shared" si="12"/>
        <v>124991536440</v>
      </c>
      <c r="I135" s="9">
        <f t="shared" si="13"/>
        <v>955187376</v>
      </c>
      <c r="J135" s="9">
        <f t="shared" si="14"/>
        <v>4775936880</v>
      </c>
      <c r="K135" s="22">
        <f t="shared" si="15"/>
        <v>24998307288</v>
      </c>
    </row>
    <row r="136" spans="2:11" x14ac:dyDescent="0.3">
      <c r="B136" s="9">
        <v>135</v>
      </c>
      <c r="C136" s="9">
        <v>241315</v>
      </c>
      <c r="D136" s="9">
        <v>2413150</v>
      </c>
      <c r="E136" s="9">
        <v>18000</v>
      </c>
      <c r="F136" s="9">
        <v>90000</v>
      </c>
      <c r="G136" s="9">
        <f t="shared" si="11"/>
        <v>13193897625</v>
      </c>
      <c r="H136" s="9">
        <f t="shared" si="12"/>
        <v>131938976250</v>
      </c>
      <c r="I136" s="9">
        <f t="shared" si="13"/>
        <v>984150000</v>
      </c>
      <c r="J136" s="9">
        <f t="shared" si="14"/>
        <v>4920750000</v>
      </c>
      <c r="K136" s="22">
        <f t="shared" si="15"/>
        <v>26387795250</v>
      </c>
    </row>
    <row r="137" spans="2:11" x14ac:dyDescent="0.3">
      <c r="B137" s="9">
        <v>136</v>
      </c>
      <c r="C137" s="9">
        <v>250968</v>
      </c>
      <c r="D137" s="9">
        <v>2509680</v>
      </c>
      <c r="E137" s="9">
        <v>18269</v>
      </c>
      <c r="F137" s="9">
        <v>91345</v>
      </c>
      <c r="G137" s="9">
        <f t="shared" si="11"/>
        <v>13925712384</v>
      </c>
      <c r="H137" s="9">
        <f t="shared" si="12"/>
        <v>139257123840</v>
      </c>
      <c r="I137" s="9">
        <f t="shared" si="13"/>
        <v>1013710272</v>
      </c>
      <c r="J137" s="9">
        <f t="shared" si="14"/>
        <v>5068551360</v>
      </c>
      <c r="K137" s="22">
        <f t="shared" si="15"/>
        <v>27851424768</v>
      </c>
    </row>
    <row r="138" spans="2:11" x14ac:dyDescent="0.3">
      <c r="B138" s="9">
        <v>137</v>
      </c>
      <c r="C138" s="9">
        <v>261007</v>
      </c>
      <c r="D138" s="9">
        <v>2610070</v>
      </c>
      <c r="E138" s="9">
        <v>18541</v>
      </c>
      <c r="F138" s="9">
        <v>92705</v>
      </c>
      <c r="G138" s="9">
        <f t="shared" si="11"/>
        <v>14696521149</v>
      </c>
      <c r="H138" s="9">
        <f t="shared" si="12"/>
        <v>146965211490</v>
      </c>
      <c r="I138" s="9">
        <f t="shared" si="13"/>
        <v>1043988087</v>
      </c>
      <c r="J138" s="9">
        <f t="shared" si="14"/>
        <v>5219940435</v>
      </c>
      <c r="K138" s="22">
        <f t="shared" si="15"/>
        <v>29393042298</v>
      </c>
    </row>
    <row r="139" spans="2:11" x14ac:dyDescent="0.3">
      <c r="B139" s="9">
        <v>138</v>
      </c>
      <c r="C139" s="9">
        <v>271448</v>
      </c>
      <c r="D139" s="9">
        <v>2714480</v>
      </c>
      <c r="E139" s="9">
        <v>18814</v>
      </c>
      <c r="F139" s="9">
        <v>94070</v>
      </c>
      <c r="G139" s="9">
        <f t="shared" si="11"/>
        <v>15508367136</v>
      </c>
      <c r="H139" s="9">
        <f t="shared" si="12"/>
        <v>155083671360</v>
      </c>
      <c r="I139" s="9">
        <f t="shared" si="13"/>
        <v>1074881448</v>
      </c>
      <c r="J139" s="9">
        <f t="shared" si="14"/>
        <v>5374407240</v>
      </c>
      <c r="K139" s="22">
        <f t="shared" si="15"/>
        <v>31016734272</v>
      </c>
    </row>
    <row r="140" spans="2:11" x14ac:dyDescent="0.3">
      <c r="B140" s="9">
        <v>139</v>
      </c>
      <c r="C140" s="9">
        <v>282306</v>
      </c>
      <c r="D140" s="9">
        <v>2823060</v>
      </c>
      <c r="E140" s="9">
        <v>19090</v>
      </c>
      <c r="F140" s="9">
        <v>95450</v>
      </c>
      <c r="G140" s="9">
        <f t="shared" si="11"/>
        <v>16363302678</v>
      </c>
      <c r="H140" s="9">
        <f t="shared" si="12"/>
        <v>163633026780</v>
      </c>
      <c r="I140" s="9">
        <f t="shared" si="13"/>
        <v>1106513670</v>
      </c>
      <c r="J140" s="9">
        <f t="shared" si="14"/>
        <v>5532568350</v>
      </c>
      <c r="K140" s="22">
        <f t="shared" si="15"/>
        <v>32726605356</v>
      </c>
    </row>
    <row r="141" spans="2:11" x14ac:dyDescent="0.3">
      <c r="B141" s="9">
        <v>140</v>
      </c>
      <c r="C141" s="9">
        <v>293599</v>
      </c>
      <c r="D141" s="9">
        <v>2935990</v>
      </c>
      <c r="E141" s="9">
        <v>19367</v>
      </c>
      <c r="F141" s="9">
        <v>96835</v>
      </c>
      <c r="G141" s="9">
        <f t="shared" si="11"/>
        <v>17263621200</v>
      </c>
      <c r="H141" s="9">
        <f t="shared" si="12"/>
        <v>172636212000</v>
      </c>
      <c r="I141" s="9">
        <f t="shared" si="13"/>
        <v>1138779600</v>
      </c>
      <c r="J141" s="9">
        <f t="shared" si="14"/>
        <v>5693898000</v>
      </c>
      <c r="K141" s="22">
        <f t="shared" si="15"/>
        <v>34527242400</v>
      </c>
    </row>
    <row r="142" spans="2:11" x14ac:dyDescent="0.3">
      <c r="B142" s="9">
        <v>141</v>
      </c>
      <c r="C142" s="9">
        <v>305343</v>
      </c>
      <c r="D142" s="9">
        <v>3053430</v>
      </c>
      <c r="E142" s="9">
        <v>19647</v>
      </c>
      <c r="F142" s="9">
        <v>98235</v>
      </c>
      <c r="G142" s="9">
        <f t="shared" si="11"/>
        <v>18211572549</v>
      </c>
      <c r="H142" s="9">
        <f t="shared" si="12"/>
        <v>182115725490</v>
      </c>
      <c r="I142" s="9">
        <f t="shared" si="13"/>
        <v>1171806021</v>
      </c>
      <c r="J142" s="9">
        <f t="shared" si="14"/>
        <v>5859030105</v>
      </c>
      <c r="K142" s="22">
        <f t="shared" si="15"/>
        <v>36423145098</v>
      </c>
    </row>
    <row r="143" spans="2:11" x14ac:dyDescent="0.3">
      <c r="B143" s="9">
        <v>142</v>
      </c>
      <c r="C143" s="9">
        <v>317557</v>
      </c>
      <c r="D143" s="9">
        <v>3175570</v>
      </c>
      <c r="E143" s="9">
        <v>19928</v>
      </c>
      <c r="F143" s="9">
        <v>99640</v>
      </c>
      <c r="G143" s="9">
        <f t="shared" si="11"/>
        <v>19209658044</v>
      </c>
      <c r="H143" s="9">
        <f t="shared" si="12"/>
        <v>192096580440</v>
      </c>
      <c r="I143" s="9">
        <f t="shared" si="13"/>
        <v>1205484576</v>
      </c>
      <c r="J143" s="9">
        <f t="shared" si="14"/>
        <v>6027422880</v>
      </c>
      <c r="K143" s="22">
        <f t="shared" si="15"/>
        <v>38419316088</v>
      </c>
    </row>
    <row r="144" spans="2:11" x14ac:dyDescent="0.3">
      <c r="B144" s="9">
        <v>143</v>
      </c>
      <c r="C144" s="9">
        <v>330260</v>
      </c>
      <c r="D144" s="9">
        <v>3302600</v>
      </c>
      <c r="E144" s="9">
        <v>20212</v>
      </c>
      <c r="F144" s="9">
        <v>101060</v>
      </c>
      <c r="G144" s="9">
        <f t="shared" si="11"/>
        <v>20260460220</v>
      </c>
      <c r="H144" s="9">
        <f t="shared" si="12"/>
        <v>202604602200</v>
      </c>
      <c r="I144" s="9">
        <f t="shared" si="13"/>
        <v>1239945564</v>
      </c>
      <c r="J144" s="9">
        <f t="shared" si="14"/>
        <v>6199727820</v>
      </c>
      <c r="K144" s="22">
        <f t="shared" si="15"/>
        <v>40520920440</v>
      </c>
    </row>
    <row r="145" spans="2:11" x14ac:dyDescent="0.3">
      <c r="B145" s="9">
        <v>144</v>
      </c>
      <c r="C145" s="9">
        <v>343471</v>
      </c>
      <c r="D145" s="9">
        <v>3434710</v>
      </c>
      <c r="E145" s="9">
        <v>20497</v>
      </c>
      <c r="F145" s="9">
        <v>102485</v>
      </c>
      <c r="G145" s="9">
        <f t="shared" si="11"/>
        <v>21366643968</v>
      </c>
      <c r="H145" s="9">
        <f t="shared" si="12"/>
        <v>213666439680</v>
      </c>
      <c r="I145" s="9">
        <f t="shared" si="13"/>
        <v>1275077376</v>
      </c>
      <c r="J145" s="9">
        <f t="shared" si="14"/>
        <v>6375386880</v>
      </c>
      <c r="K145" s="22">
        <f t="shared" si="15"/>
        <v>42733287936</v>
      </c>
    </row>
    <row r="146" spans="2:11" x14ac:dyDescent="0.3">
      <c r="B146" s="9">
        <v>145</v>
      </c>
      <c r="C146" s="9">
        <v>357210</v>
      </c>
      <c r="D146" s="9">
        <v>3572100</v>
      </c>
      <c r="E146" s="9">
        <v>20785</v>
      </c>
      <c r="F146" s="9">
        <v>103925</v>
      </c>
      <c r="G146" s="9">
        <f t="shared" si="11"/>
        <v>22531020750</v>
      </c>
      <c r="H146" s="9">
        <f t="shared" si="12"/>
        <v>225310207500</v>
      </c>
      <c r="I146" s="9">
        <f t="shared" si="13"/>
        <v>1311013875</v>
      </c>
      <c r="J146" s="9">
        <f t="shared" si="14"/>
        <v>6555069375</v>
      </c>
      <c r="K146" s="22">
        <f t="shared" si="15"/>
        <v>45062041500</v>
      </c>
    </row>
    <row r="147" spans="2:11" x14ac:dyDescent="0.3">
      <c r="B147" s="9">
        <v>146</v>
      </c>
      <c r="C147" s="9">
        <v>371499</v>
      </c>
      <c r="D147" s="9">
        <v>3714990</v>
      </c>
      <c r="E147" s="9">
        <v>21074</v>
      </c>
      <c r="F147" s="9">
        <v>105370</v>
      </c>
      <c r="G147" s="9">
        <f t="shared" si="11"/>
        <v>23756618052</v>
      </c>
      <c r="H147" s="9">
        <f t="shared" si="12"/>
        <v>237566180520</v>
      </c>
      <c r="I147" s="9">
        <f t="shared" si="13"/>
        <v>1347640152</v>
      </c>
      <c r="J147" s="9">
        <f t="shared" si="14"/>
        <v>6738200760</v>
      </c>
      <c r="K147" s="22">
        <f t="shared" si="15"/>
        <v>47513236104</v>
      </c>
    </row>
    <row r="148" spans="2:11" x14ac:dyDescent="0.3">
      <c r="B148" s="9">
        <v>147</v>
      </c>
      <c r="C148" s="9">
        <v>386359</v>
      </c>
      <c r="D148" s="9">
        <v>3863590</v>
      </c>
      <c r="E148" s="9">
        <v>21366</v>
      </c>
      <c r="F148" s="9">
        <v>106830</v>
      </c>
      <c r="G148" s="9">
        <f t="shared" si="11"/>
        <v>25046494893</v>
      </c>
      <c r="H148" s="9">
        <f t="shared" si="12"/>
        <v>250464948930</v>
      </c>
      <c r="I148" s="9">
        <f t="shared" si="13"/>
        <v>1385093682</v>
      </c>
      <c r="J148" s="9">
        <f t="shared" si="14"/>
        <v>6925468410</v>
      </c>
      <c r="K148" s="22">
        <f t="shared" si="15"/>
        <v>50092989786</v>
      </c>
    </row>
    <row r="149" spans="2:11" x14ac:dyDescent="0.3">
      <c r="B149" s="9">
        <v>148</v>
      </c>
      <c r="C149" s="9">
        <v>401814</v>
      </c>
      <c r="D149" s="9">
        <v>4018140</v>
      </c>
      <c r="E149" s="9">
        <v>21659</v>
      </c>
      <c r="F149" s="9">
        <v>108295</v>
      </c>
      <c r="G149" s="9">
        <f t="shared" si="11"/>
        <v>26404001568</v>
      </c>
      <c r="H149" s="9">
        <f t="shared" si="12"/>
        <v>264040015680</v>
      </c>
      <c r="I149" s="9">
        <f t="shared" si="13"/>
        <v>1423256208</v>
      </c>
      <c r="J149" s="9">
        <f t="shared" si="14"/>
        <v>7116281040</v>
      </c>
      <c r="K149" s="22">
        <f t="shared" si="15"/>
        <v>52808003136</v>
      </c>
    </row>
    <row r="150" spans="2:11" x14ac:dyDescent="0.3">
      <c r="B150" s="9">
        <v>149</v>
      </c>
      <c r="C150" s="9">
        <v>417887</v>
      </c>
      <c r="D150" s="9">
        <v>4178870</v>
      </c>
      <c r="E150" s="9">
        <v>21955</v>
      </c>
      <c r="F150" s="9">
        <v>109775</v>
      </c>
      <c r="G150" s="9">
        <f t="shared" si="11"/>
        <v>27832527861</v>
      </c>
      <c r="H150" s="9">
        <f t="shared" si="12"/>
        <v>278325278610</v>
      </c>
      <c r="I150" s="9">
        <f t="shared" si="13"/>
        <v>1462268865</v>
      </c>
      <c r="J150" s="9">
        <f t="shared" si="14"/>
        <v>7311344325</v>
      </c>
      <c r="K150" s="22">
        <f t="shared" si="15"/>
        <v>55665055722</v>
      </c>
    </row>
    <row r="151" spans="2:11" x14ac:dyDescent="0.3">
      <c r="B151" s="9">
        <v>150</v>
      </c>
      <c r="C151" s="9">
        <v>434603</v>
      </c>
      <c r="D151" s="9">
        <v>4346030</v>
      </c>
      <c r="E151" s="9">
        <v>22253</v>
      </c>
      <c r="F151" s="9">
        <v>111265</v>
      </c>
      <c r="G151" s="9">
        <f t="shared" si="11"/>
        <v>29335702500</v>
      </c>
      <c r="H151" s="9">
        <f t="shared" si="12"/>
        <v>293357025000</v>
      </c>
      <c r="I151" s="9">
        <f t="shared" si="13"/>
        <v>1502077500</v>
      </c>
      <c r="J151" s="9">
        <f t="shared" si="14"/>
        <v>7510387500</v>
      </c>
      <c r="K151" s="22">
        <f t="shared" si="15"/>
        <v>58671405000</v>
      </c>
    </row>
    <row r="152" spans="2:11" x14ac:dyDescent="0.3">
      <c r="B152" s="9">
        <v>151</v>
      </c>
      <c r="C152" s="9">
        <v>451988</v>
      </c>
      <c r="D152" s="9">
        <v>4519880</v>
      </c>
      <c r="E152" s="9">
        <v>22552</v>
      </c>
      <c r="F152" s="9">
        <v>112760</v>
      </c>
      <c r="G152" s="9">
        <f t="shared" si="11"/>
        <v>30917335164</v>
      </c>
      <c r="H152" s="9">
        <f t="shared" si="12"/>
        <v>309173351640</v>
      </c>
      <c r="I152" s="9">
        <f t="shared" si="13"/>
        <v>1542624456</v>
      </c>
      <c r="J152" s="9">
        <f t="shared" si="14"/>
        <v>7713122280</v>
      </c>
      <c r="K152" s="22">
        <f t="shared" si="15"/>
        <v>61834670328</v>
      </c>
    </row>
    <row r="153" spans="2:11" x14ac:dyDescent="0.3">
      <c r="B153" s="9">
        <v>152</v>
      </c>
      <c r="C153" s="9">
        <v>470068</v>
      </c>
      <c r="D153" s="9">
        <v>4700680</v>
      </c>
      <c r="E153" s="9">
        <v>22854</v>
      </c>
      <c r="F153" s="9">
        <v>114270</v>
      </c>
      <c r="G153" s="9">
        <f t="shared" si="11"/>
        <v>32581353216</v>
      </c>
      <c r="H153" s="9">
        <f t="shared" si="12"/>
        <v>325813532160</v>
      </c>
      <c r="I153" s="9">
        <f t="shared" si="13"/>
        <v>1584056448</v>
      </c>
      <c r="J153" s="9">
        <f t="shared" si="14"/>
        <v>7920282240</v>
      </c>
      <c r="K153" s="22">
        <f t="shared" si="15"/>
        <v>65162706432</v>
      </c>
    </row>
    <row r="154" spans="2:11" x14ac:dyDescent="0.3">
      <c r="B154" s="9">
        <v>153</v>
      </c>
      <c r="C154" s="9">
        <v>488871</v>
      </c>
      <c r="D154" s="9">
        <v>4888710</v>
      </c>
      <c r="E154" s="9">
        <v>23157</v>
      </c>
      <c r="F154" s="9">
        <v>115785</v>
      </c>
      <c r="G154" s="9">
        <f t="shared" si="11"/>
        <v>34331943717</v>
      </c>
      <c r="H154" s="9">
        <f t="shared" si="12"/>
        <v>343319437170</v>
      </c>
      <c r="I154" s="9">
        <f t="shared" si="13"/>
        <v>1626246639</v>
      </c>
      <c r="J154" s="9">
        <f t="shared" si="14"/>
        <v>8131233195</v>
      </c>
      <c r="K154" s="22">
        <f t="shared" si="15"/>
        <v>68663887434</v>
      </c>
    </row>
    <row r="155" spans="2:11" x14ac:dyDescent="0.3">
      <c r="B155" s="9">
        <v>154</v>
      </c>
      <c r="C155" s="9">
        <v>508426</v>
      </c>
      <c r="D155" s="9">
        <v>5084260</v>
      </c>
      <c r="E155" s="9">
        <v>23463</v>
      </c>
      <c r="F155" s="9">
        <v>117315</v>
      </c>
      <c r="G155" s="9">
        <f t="shared" si="11"/>
        <v>36173493048</v>
      </c>
      <c r="H155" s="9">
        <f t="shared" si="12"/>
        <v>361734930480</v>
      </c>
      <c r="I155" s="9">
        <f t="shared" si="13"/>
        <v>1669345524</v>
      </c>
      <c r="J155" s="9">
        <f t="shared" si="14"/>
        <v>8346727620</v>
      </c>
      <c r="K155" s="22">
        <f t="shared" si="15"/>
        <v>72346986096</v>
      </c>
    </row>
    <row r="156" spans="2:11" x14ac:dyDescent="0.3">
      <c r="B156" s="9">
        <v>155</v>
      </c>
      <c r="C156" s="9">
        <v>528764</v>
      </c>
      <c r="D156" s="9">
        <v>5287640</v>
      </c>
      <c r="E156" s="9">
        <v>23770</v>
      </c>
      <c r="F156" s="9">
        <v>118850</v>
      </c>
      <c r="G156" s="9">
        <f t="shared" si="11"/>
        <v>38110665300</v>
      </c>
      <c r="H156" s="9">
        <f t="shared" si="12"/>
        <v>381106653000</v>
      </c>
      <c r="I156" s="9">
        <f t="shared" si="13"/>
        <v>1713222750</v>
      </c>
      <c r="J156" s="9">
        <f t="shared" si="14"/>
        <v>8566113750</v>
      </c>
      <c r="K156" s="22">
        <f t="shared" si="15"/>
        <v>76221330600</v>
      </c>
    </row>
    <row r="157" spans="2:11" x14ac:dyDescent="0.3">
      <c r="B157" s="9">
        <v>156</v>
      </c>
      <c r="C157" s="9">
        <v>549915</v>
      </c>
      <c r="D157" s="9">
        <v>5499150</v>
      </c>
      <c r="E157" s="9">
        <v>24080</v>
      </c>
      <c r="F157" s="9">
        <v>120400</v>
      </c>
      <c r="G157" s="9">
        <f t="shared" si="11"/>
        <v>40148194320</v>
      </c>
      <c r="H157" s="9">
        <f t="shared" si="12"/>
        <v>401481943200</v>
      </c>
      <c r="I157" s="9">
        <f t="shared" si="13"/>
        <v>1758032640</v>
      </c>
      <c r="J157" s="9">
        <f t="shared" si="14"/>
        <v>8790163200</v>
      </c>
      <c r="K157" s="22">
        <f t="shared" si="15"/>
        <v>80296388640</v>
      </c>
    </row>
    <row r="158" spans="2:11" x14ac:dyDescent="0.3">
      <c r="B158" s="9">
        <v>157</v>
      </c>
      <c r="C158" s="9">
        <v>571912</v>
      </c>
      <c r="D158" s="9">
        <v>5719120</v>
      </c>
      <c r="E158" s="9">
        <v>24392</v>
      </c>
      <c r="F158" s="9">
        <v>121960</v>
      </c>
      <c r="G158" s="9">
        <f t="shared" si="11"/>
        <v>42291176664</v>
      </c>
      <c r="H158" s="9">
        <f t="shared" si="12"/>
        <v>422911766640</v>
      </c>
      <c r="I158" s="9">
        <f t="shared" si="13"/>
        <v>1803715224</v>
      </c>
      <c r="J158" s="9">
        <f t="shared" si="14"/>
        <v>9018576120</v>
      </c>
      <c r="K158" s="22">
        <f t="shared" si="15"/>
        <v>84582353328</v>
      </c>
    </row>
    <row r="159" spans="2:11" x14ac:dyDescent="0.3">
      <c r="B159" s="9">
        <v>158</v>
      </c>
      <c r="C159" s="9">
        <v>594789</v>
      </c>
      <c r="D159" s="9">
        <v>5947890</v>
      </c>
      <c r="E159" s="9">
        <v>24705</v>
      </c>
      <c r="F159" s="9">
        <v>123525</v>
      </c>
      <c r="G159" s="9">
        <f t="shared" si="11"/>
        <v>44544937788</v>
      </c>
      <c r="H159" s="9">
        <f t="shared" si="12"/>
        <v>445449377880</v>
      </c>
      <c r="I159" s="9">
        <f t="shared" si="13"/>
        <v>1850206860</v>
      </c>
      <c r="J159" s="9">
        <f t="shared" si="14"/>
        <v>9251034300</v>
      </c>
      <c r="K159" s="22">
        <f t="shared" si="15"/>
        <v>89089875576</v>
      </c>
    </row>
    <row r="160" spans="2:11" x14ac:dyDescent="0.3">
      <c r="B160" s="9">
        <v>159</v>
      </c>
      <c r="C160" s="9">
        <v>618581</v>
      </c>
      <c r="D160" s="9">
        <v>6185810</v>
      </c>
      <c r="E160" s="9">
        <v>25021</v>
      </c>
      <c r="F160" s="9">
        <v>125105</v>
      </c>
      <c r="G160" s="9">
        <f t="shared" si="11"/>
        <v>46915038783</v>
      </c>
      <c r="H160" s="9">
        <f t="shared" si="12"/>
        <v>469150387830</v>
      </c>
      <c r="I160" s="9">
        <f t="shared" si="13"/>
        <v>1897667703</v>
      </c>
      <c r="J160" s="9">
        <f t="shared" si="14"/>
        <v>9488338515</v>
      </c>
      <c r="K160" s="22">
        <f t="shared" si="15"/>
        <v>93830077566</v>
      </c>
    </row>
    <row r="161" spans="2:11" x14ac:dyDescent="0.3">
      <c r="B161" s="9">
        <v>160</v>
      </c>
      <c r="C161" s="9">
        <v>643325</v>
      </c>
      <c r="D161" s="9">
        <v>6433250</v>
      </c>
      <c r="E161" s="9">
        <v>25338</v>
      </c>
      <c r="F161" s="9">
        <v>126690</v>
      </c>
      <c r="G161" s="9">
        <f t="shared" si="11"/>
        <v>49407360000</v>
      </c>
      <c r="H161" s="9">
        <f t="shared" si="12"/>
        <v>494073600000</v>
      </c>
      <c r="I161" s="9">
        <f t="shared" si="13"/>
        <v>1945958400</v>
      </c>
      <c r="J161" s="9">
        <f t="shared" si="14"/>
        <v>9729792000</v>
      </c>
      <c r="K161" s="22">
        <f t="shared" si="15"/>
        <v>98814720000</v>
      </c>
    </row>
    <row r="162" spans="2:11" x14ac:dyDescent="0.3">
      <c r="B162" s="9">
        <v>161</v>
      </c>
      <c r="C162" s="9">
        <v>669058</v>
      </c>
      <c r="D162" s="9">
        <v>6690580</v>
      </c>
      <c r="E162" s="9">
        <v>25658</v>
      </c>
      <c r="F162" s="9">
        <v>128290</v>
      </c>
      <c r="G162" s="9">
        <f t="shared" si="11"/>
        <v>52027957254</v>
      </c>
      <c r="H162" s="9">
        <f t="shared" si="12"/>
        <v>520279572540</v>
      </c>
      <c r="I162" s="9">
        <f t="shared" si="13"/>
        <v>1995243054</v>
      </c>
      <c r="J162" s="9">
        <f t="shared" si="14"/>
        <v>9976215270</v>
      </c>
      <c r="K162" s="22">
        <f t="shared" si="15"/>
        <v>104055914508</v>
      </c>
    </row>
    <row r="163" spans="2:11" x14ac:dyDescent="0.3">
      <c r="B163" s="9">
        <v>162</v>
      </c>
      <c r="C163" s="9">
        <v>695821</v>
      </c>
      <c r="D163" s="9">
        <v>6958210</v>
      </c>
      <c r="E163" s="9">
        <v>25980</v>
      </c>
      <c r="F163" s="9">
        <v>129900</v>
      </c>
      <c r="G163" s="9">
        <f t="shared" si="11"/>
        <v>54783378972</v>
      </c>
      <c r="H163" s="9">
        <f t="shared" si="12"/>
        <v>547833789720</v>
      </c>
      <c r="I163" s="9">
        <f t="shared" si="13"/>
        <v>2045457360</v>
      </c>
      <c r="J163" s="9">
        <f t="shared" si="14"/>
        <v>10227286800</v>
      </c>
      <c r="K163" s="22">
        <f t="shared" si="15"/>
        <v>109566757944</v>
      </c>
    </row>
    <row r="164" spans="2:11" x14ac:dyDescent="0.3">
      <c r="B164" s="9">
        <v>163</v>
      </c>
      <c r="C164" s="9">
        <v>723654</v>
      </c>
      <c r="D164" s="9">
        <v>7236540</v>
      </c>
      <c r="E164" s="9">
        <v>26303</v>
      </c>
      <c r="F164" s="9">
        <v>131515</v>
      </c>
      <c r="G164" s="9">
        <f t="shared" si="11"/>
        <v>57680289378</v>
      </c>
      <c r="H164" s="9">
        <f t="shared" si="12"/>
        <v>576802893780</v>
      </c>
      <c r="I164" s="9">
        <f t="shared" si="13"/>
        <v>2096533221</v>
      </c>
      <c r="J164" s="9">
        <f t="shared" si="14"/>
        <v>10482666105</v>
      </c>
      <c r="K164" s="22">
        <f t="shared" si="15"/>
        <v>115360578756</v>
      </c>
    </row>
    <row r="165" spans="2:11" x14ac:dyDescent="0.3">
      <c r="B165" s="9">
        <v>164</v>
      </c>
      <c r="C165" s="9">
        <v>752601</v>
      </c>
      <c r="D165" s="9">
        <v>7526010</v>
      </c>
      <c r="E165" s="9">
        <v>26629</v>
      </c>
      <c r="F165" s="9">
        <v>133145</v>
      </c>
      <c r="G165" s="9">
        <f t="shared" si="11"/>
        <v>60725869488</v>
      </c>
      <c r="H165" s="9">
        <f t="shared" si="12"/>
        <v>607258694880</v>
      </c>
      <c r="I165" s="9">
        <f t="shared" si="13"/>
        <v>2148640752</v>
      </c>
      <c r="J165" s="9">
        <f t="shared" si="14"/>
        <v>10743203760</v>
      </c>
      <c r="K165" s="22">
        <f t="shared" si="15"/>
        <v>121451738976</v>
      </c>
    </row>
    <row r="166" spans="2:11" x14ac:dyDescent="0.3">
      <c r="B166" s="9">
        <v>165</v>
      </c>
      <c r="C166" s="9">
        <v>782706</v>
      </c>
      <c r="D166" s="9">
        <v>7827060</v>
      </c>
      <c r="E166" s="9">
        <v>26957</v>
      </c>
      <c r="F166" s="9">
        <v>134785</v>
      </c>
      <c r="G166" s="9">
        <f t="shared" si="11"/>
        <v>63927512550</v>
      </c>
      <c r="H166" s="9">
        <f t="shared" si="12"/>
        <v>639275125500</v>
      </c>
      <c r="I166" s="9">
        <f t="shared" si="13"/>
        <v>2201712975</v>
      </c>
      <c r="J166" s="9">
        <f t="shared" si="14"/>
        <v>11008564875</v>
      </c>
      <c r="K166" s="22">
        <f t="shared" si="15"/>
        <v>127855025100</v>
      </c>
    </row>
    <row r="167" spans="2:11" x14ac:dyDescent="0.3">
      <c r="B167" s="9">
        <v>166</v>
      </c>
      <c r="C167" s="9">
        <v>814015</v>
      </c>
      <c r="D167" s="9">
        <v>8140150</v>
      </c>
      <c r="E167" s="9">
        <v>27286</v>
      </c>
      <c r="F167" s="9">
        <v>136430</v>
      </c>
      <c r="G167" s="9">
        <f t="shared" si="11"/>
        <v>67292992020</v>
      </c>
      <c r="H167" s="9">
        <f t="shared" si="12"/>
        <v>672929920200</v>
      </c>
      <c r="I167" s="9">
        <f t="shared" si="13"/>
        <v>2255679048</v>
      </c>
      <c r="J167" s="9">
        <f t="shared" si="14"/>
        <v>11278395240</v>
      </c>
      <c r="K167" s="22">
        <f t="shared" si="15"/>
        <v>134585984040</v>
      </c>
    </row>
    <row r="168" spans="2:11" x14ac:dyDescent="0.3">
      <c r="B168" s="9">
        <v>167</v>
      </c>
      <c r="C168" s="9">
        <v>846576</v>
      </c>
      <c r="D168" s="9">
        <v>8465760</v>
      </c>
      <c r="E168" s="9">
        <v>27618</v>
      </c>
      <c r="F168" s="9">
        <v>138090</v>
      </c>
      <c r="G168" s="9">
        <f t="shared" si="11"/>
        <v>70830474192</v>
      </c>
      <c r="H168" s="9">
        <f t="shared" si="12"/>
        <v>708304741920</v>
      </c>
      <c r="I168" s="9">
        <f t="shared" si="13"/>
        <v>2310715206</v>
      </c>
      <c r="J168" s="9">
        <f t="shared" si="14"/>
        <v>11553576030</v>
      </c>
      <c r="K168" s="22">
        <f t="shared" si="15"/>
        <v>141660948384</v>
      </c>
    </row>
    <row r="169" spans="2:11" x14ac:dyDescent="0.3">
      <c r="B169" s="9">
        <v>168</v>
      </c>
      <c r="C169" s="9">
        <v>880440</v>
      </c>
      <c r="D169" s="9">
        <v>8804400</v>
      </c>
      <c r="E169" s="9">
        <v>27952</v>
      </c>
      <c r="F169" s="9">
        <v>139760</v>
      </c>
      <c r="G169" s="9">
        <f t="shared" si="11"/>
        <v>74548615680</v>
      </c>
      <c r="H169" s="9">
        <f t="shared" si="12"/>
        <v>745486156800</v>
      </c>
      <c r="I169" s="9">
        <f t="shared" si="13"/>
        <v>2366751744</v>
      </c>
      <c r="J169" s="9">
        <f t="shared" si="14"/>
        <v>11833758720</v>
      </c>
      <c r="K169" s="22">
        <f t="shared" si="15"/>
        <v>149097231360</v>
      </c>
    </row>
    <row r="170" spans="2:11" x14ac:dyDescent="0.3">
      <c r="B170" s="9">
        <v>169</v>
      </c>
      <c r="C170" s="9">
        <v>915658</v>
      </c>
      <c r="D170" s="9">
        <v>9156580</v>
      </c>
      <c r="E170" s="9">
        <v>28287</v>
      </c>
      <c r="F170" s="9">
        <v>141435</v>
      </c>
      <c r="G170" s="9">
        <f t="shared" si="11"/>
        <v>78456324414</v>
      </c>
      <c r="H170" s="9">
        <f t="shared" si="12"/>
        <v>784563244140</v>
      </c>
      <c r="I170" s="9">
        <f t="shared" si="13"/>
        <v>2423715021</v>
      </c>
      <c r="J170" s="9">
        <f t="shared" si="14"/>
        <v>12118575105</v>
      </c>
      <c r="K170" s="22">
        <f t="shared" si="15"/>
        <v>156912648828</v>
      </c>
    </row>
    <row r="171" spans="2:11" x14ac:dyDescent="0.3">
      <c r="B171" s="9">
        <v>170</v>
      </c>
      <c r="C171" s="9">
        <v>952285</v>
      </c>
      <c r="D171" s="9">
        <v>9522850</v>
      </c>
      <c r="E171" s="9">
        <v>28625</v>
      </c>
      <c r="F171" s="9">
        <v>143125</v>
      </c>
      <c r="G171" s="9">
        <f t="shared" si="11"/>
        <v>82563109500</v>
      </c>
      <c r="H171" s="9">
        <f t="shared" si="12"/>
        <v>825631095000</v>
      </c>
      <c r="I171" s="9">
        <f t="shared" si="13"/>
        <v>2481787500</v>
      </c>
      <c r="J171" s="9">
        <f t="shared" si="14"/>
        <v>12408937500</v>
      </c>
      <c r="K171" s="22">
        <f t="shared" si="15"/>
        <v>165126219000</v>
      </c>
    </row>
    <row r="172" spans="2:11" x14ac:dyDescent="0.3">
      <c r="B172" s="9">
        <v>171</v>
      </c>
      <c r="C172" s="9">
        <v>990377</v>
      </c>
      <c r="D172" s="9">
        <v>9903770</v>
      </c>
      <c r="E172" s="9">
        <v>28965</v>
      </c>
      <c r="F172" s="9">
        <v>144825</v>
      </c>
      <c r="G172" s="9">
        <f t="shared" si="11"/>
        <v>86878841571</v>
      </c>
      <c r="H172" s="9">
        <f t="shared" si="12"/>
        <v>868788415710</v>
      </c>
      <c r="I172" s="9">
        <f t="shared" si="13"/>
        <v>2540896695</v>
      </c>
      <c r="J172" s="9">
        <f t="shared" si="14"/>
        <v>12704483475</v>
      </c>
      <c r="K172" s="22">
        <f t="shared" si="15"/>
        <v>173757683142</v>
      </c>
    </row>
    <row r="173" spans="2:11" x14ac:dyDescent="0.3">
      <c r="B173" s="9">
        <v>172</v>
      </c>
      <c r="C173" s="9">
        <v>1029993</v>
      </c>
      <c r="D173" s="9">
        <v>10299930</v>
      </c>
      <c r="E173" s="9">
        <v>29306</v>
      </c>
      <c r="F173" s="9">
        <v>146530</v>
      </c>
      <c r="G173" s="9">
        <f t="shared" si="11"/>
        <v>91413938736</v>
      </c>
      <c r="H173" s="9">
        <f t="shared" si="12"/>
        <v>914139387360</v>
      </c>
      <c r="I173" s="9">
        <f t="shared" si="13"/>
        <v>2600966112</v>
      </c>
      <c r="J173" s="9">
        <f t="shared" si="14"/>
        <v>13004830560</v>
      </c>
      <c r="K173" s="22">
        <f t="shared" si="15"/>
        <v>182827877472</v>
      </c>
    </row>
    <row r="174" spans="2:11" x14ac:dyDescent="0.3">
      <c r="B174" s="9">
        <v>173</v>
      </c>
      <c r="C174" s="9">
        <v>1071193</v>
      </c>
      <c r="D174" s="9">
        <v>10711930</v>
      </c>
      <c r="E174" s="9">
        <v>29650</v>
      </c>
      <c r="F174" s="9">
        <v>148250</v>
      </c>
      <c r="G174" s="9">
        <f t="shared" si="11"/>
        <v>96179205891</v>
      </c>
      <c r="H174" s="9">
        <f t="shared" si="12"/>
        <v>961792058910</v>
      </c>
      <c r="I174" s="9">
        <f t="shared" si="13"/>
        <v>2662184550</v>
      </c>
      <c r="J174" s="9">
        <f t="shared" si="14"/>
        <v>13310922750</v>
      </c>
      <c r="K174" s="22">
        <f t="shared" si="15"/>
        <v>192358411782</v>
      </c>
    </row>
    <row r="175" spans="2:11" x14ac:dyDescent="0.3">
      <c r="B175" s="9">
        <v>174</v>
      </c>
      <c r="C175" s="9">
        <v>1114041</v>
      </c>
      <c r="D175" s="9">
        <v>11140410</v>
      </c>
      <c r="E175" s="9">
        <v>29996</v>
      </c>
      <c r="F175" s="9">
        <v>149980</v>
      </c>
      <c r="G175" s="9">
        <f t="shared" si="11"/>
        <v>101186115948</v>
      </c>
      <c r="H175" s="9">
        <f t="shared" si="12"/>
        <v>1011861159480</v>
      </c>
      <c r="I175" s="9">
        <f t="shared" si="13"/>
        <v>2724476688</v>
      </c>
      <c r="J175" s="9">
        <f t="shared" si="14"/>
        <v>13622383440</v>
      </c>
      <c r="K175" s="22">
        <f t="shared" si="15"/>
        <v>202372231896</v>
      </c>
    </row>
    <row r="176" spans="2:11" x14ac:dyDescent="0.3">
      <c r="B176" s="9">
        <v>175</v>
      </c>
      <c r="C176" s="9">
        <v>1158603</v>
      </c>
      <c r="D176" s="9">
        <v>11586030</v>
      </c>
      <c r="E176" s="9">
        <v>30344</v>
      </c>
      <c r="F176" s="9">
        <v>151720</v>
      </c>
      <c r="G176" s="9">
        <f t="shared" si="11"/>
        <v>106446650625</v>
      </c>
      <c r="H176" s="9">
        <f t="shared" si="12"/>
        <v>1064466506250</v>
      </c>
      <c r="I176" s="9">
        <f t="shared" si="13"/>
        <v>2787855000</v>
      </c>
      <c r="J176" s="9">
        <f t="shared" si="14"/>
        <v>13939275000</v>
      </c>
      <c r="K176" s="22">
        <f t="shared" si="15"/>
        <v>212893301250</v>
      </c>
    </row>
    <row r="177" spans="2:11" x14ac:dyDescent="0.3">
      <c r="B177" s="9">
        <v>176</v>
      </c>
      <c r="C177" s="9">
        <v>1204948</v>
      </c>
      <c r="D177" s="9">
        <v>12049480</v>
      </c>
      <c r="E177" s="9">
        <v>30693</v>
      </c>
      <c r="F177" s="9">
        <v>153465</v>
      </c>
      <c r="G177" s="9">
        <f t="shared" si="11"/>
        <v>111973407744</v>
      </c>
      <c r="H177" s="9">
        <f t="shared" si="12"/>
        <v>1119734077440</v>
      </c>
      <c r="I177" s="9">
        <f t="shared" si="13"/>
        <v>2852239104</v>
      </c>
      <c r="J177" s="9">
        <f t="shared" si="14"/>
        <v>14261195520</v>
      </c>
      <c r="K177" s="22">
        <f t="shared" si="15"/>
        <v>223946815488</v>
      </c>
    </row>
    <row r="178" spans="2:11" x14ac:dyDescent="0.3">
      <c r="B178" s="9">
        <v>177</v>
      </c>
      <c r="C178" s="9">
        <v>1253146</v>
      </c>
      <c r="D178" s="9">
        <v>12531460</v>
      </c>
      <c r="E178" s="9">
        <v>31045</v>
      </c>
      <c r="F178" s="9">
        <v>155225</v>
      </c>
      <c r="G178" s="9">
        <f t="shared" si="11"/>
        <v>117779433102</v>
      </c>
      <c r="H178" s="9">
        <f t="shared" si="12"/>
        <v>1177794331020</v>
      </c>
      <c r="I178" s="9">
        <f t="shared" si="13"/>
        <v>2917826415</v>
      </c>
      <c r="J178" s="9">
        <f t="shared" si="14"/>
        <v>14589132075</v>
      </c>
      <c r="K178" s="22">
        <f t="shared" si="15"/>
        <v>235558866204</v>
      </c>
    </row>
    <row r="179" spans="2:11" x14ac:dyDescent="0.3">
      <c r="B179" s="9">
        <v>178</v>
      </c>
      <c r="C179" s="9">
        <v>1303272</v>
      </c>
      <c r="D179" s="9">
        <v>13032720</v>
      </c>
      <c r="E179" s="9">
        <v>31399</v>
      </c>
      <c r="F179" s="9">
        <v>156995</v>
      </c>
      <c r="G179" s="9">
        <f t="shared" si="11"/>
        <v>123878610144</v>
      </c>
      <c r="H179" s="9">
        <f t="shared" si="12"/>
        <v>1238786101440</v>
      </c>
      <c r="I179" s="9">
        <f t="shared" si="13"/>
        <v>2984537748</v>
      </c>
      <c r="J179" s="9">
        <f t="shared" si="14"/>
        <v>14922688740</v>
      </c>
      <c r="K179" s="22">
        <f t="shared" si="15"/>
        <v>247757220288</v>
      </c>
    </row>
    <row r="180" spans="2:11" x14ac:dyDescent="0.3">
      <c r="B180" s="9">
        <v>179</v>
      </c>
      <c r="C180" s="9">
        <v>1355403</v>
      </c>
      <c r="D180" s="9">
        <v>13554030</v>
      </c>
      <c r="E180" s="9">
        <v>31755</v>
      </c>
      <c r="F180" s="9">
        <v>158775</v>
      </c>
      <c r="G180" s="9">
        <f t="shared" si="11"/>
        <v>130285402569</v>
      </c>
      <c r="H180" s="9">
        <f t="shared" si="12"/>
        <v>1302854025690</v>
      </c>
      <c r="I180" s="9">
        <f t="shared" si="13"/>
        <v>3052385865</v>
      </c>
      <c r="J180" s="9">
        <f t="shared" si="14"/>
        <v>15261929325</v>
      </c>
      <c r="K180" s="22">
        <f t="shared" si="15"/>
        <v>260570805138</v>
      </c>
    </row>
    <row r="181" spans="2:11" x14ac:dyDescent="0.3">
      <c r="B181" s="9">
        <v>180</v>
      </c>
      <c r="C181" s="9">
        <v>1409620</v>
      </c>
      <c r="D181" s="9">
        <v>14096200</v>
      </c>
      <c r="E181" s="9">
        <v>32112</v>
      </c>
      <c r="F181" s="9">
        <v>160560</v>
      </c>
      <c r="G181" s="9">
        <f t="shared" si="11"/>
        <v>137015064000</v>
      </c>
      <c r="H181" s="9">
        <f t="shared" si="12"/>
        <v>1370150640000</v>
      </c>
      <c r="I181" s="9">
        <f t="shared" si="13"/>
        <v>3121286400</v>
      </c>
      <c r="J181" s="9">
        <f t="shared" si="14"/>
        <v>15606432000</v>
      </c>
      <c r="K181" s="22">
        <f t="shared" si="15"/>
        <v>274030128000</v>
      </c>
    </row>
    <row r="182" spans="2:11" x14ac:dyDescent="0.3">
      <c r="B182" s="9">
        <v>181</v>
      </c>
      <c r="C182" s="9">
        <v>1466005</v>
      </c>
      <c r="D182" s="9">
        <v>14660050</v>
      </c>
      <c r="E182" s="9">
        <v>32472</v>
      </c>
      <c r="F182" s="9">
        <v>162360</v>
      </c>
      <c r="G182" s="9">
        <f t="shared" si="11"/>
        <v>144083369415</v>
      </c>
      <c r="H182" s="9">
        <f t="shared" si="12"/>
        <v>1440833694150</v>
      </c>
      <c r="I182" s="9">
        <f t="shared" si="13"/>
        <v>3191445576</v>
      </c>
      <c r="J182" s="9">
        <f t="shared" si="14"/>
        <v>15957227880</v>
      </c>
      <c r="K182" s="22">
        <f t="shared" si="15"/>
        <v>288166738830</v>
      </c>
    </row>
    <row r="183" spans="2:11" x14ac:dyDescent="0.3">
      <c r="B183" s="9">
        <v>182</v>
      </c>
      <c r="C183" s="9">
        <v>1524646</v>
      </c>
      <c r="D183" s="9">
        <v>15246460</v>
      </c>
      <c r="E183" s="9">
        <v>32834</v>
      </c>
      <c r="F183" s="9">
        <v>164170</v>
      </c>
      <c r="G183" s="9">
        <f t="shared" si="11"/>
        <v>151507122312</v>
      </c>
      <c r="H183" s="9">
        <f t="shared" si="12"/>
        <v>1515071223120</v>
      </c>
      <c r="I183" s="9">
        <f t="shared" si="13"/>
        <v>3262780248</v>
      </c>
      <c r="J183" s="9">
        <f t="shared" si="14"/>
        <v>16313901240</v>
      </c>
      <c r="K183" s="22">
        <f t="shared" si="15"/>
        <v>303014244624</v>
      </c>
    </row>
    <row r="184" spans="2:11" x14ac:dyDescent="0.3">
      <c r="B184" s="9">
        <v>183</v>
      </c>
      <c r="C184" s="9">
        <v>1585632</v>
      </c>
      <c r="D184" s="9">
        <v>15856320</v>
      </c>
      <c r="E184" s="9">
        <v>33198</v>
      </c>
      <c r="F184" s="9">
        <v>165990</v>
      </c>
      <c r="G184" s="9">
        <f t="shared" si="11"/>
        <v>159303690144</v>
      </c>
      <c r="H184" s="9">
        <f t="shared" si="12"/>
        <v>1593036901440</v>
      </c>
      <c r="I184" s="9">
        <f t="shared" si="13"/>
        <v>3335303466</v>
      </c>
      <c r="J184" s="9">
        <f t="shared" si="14"/>
        <v>16676517330</v>
      </c>
      <c r="K184" s="22">
        <f t="shared" si="15"/>
        <v>318607380288</v>
      </c>
    </row>
    <row r="185" spans="2:11" x14ac:dyDescent="0.3">
      <c r="B185" s="9">
        <v>184</v>
      </c>
      <c r="C185" s="9">
        <v>1649058</v>
      </c>
      <c r="D185" s="9">
        <v>16490580</v>
      </c>
      <c r="E185" s="9">
        <v>33564</v>
      </c>
      <c r="F185" s="9">
        <v>167820</v>
      </c>
      <c r="G185" s="9">
        <f t="shared" si="11"/>
        <v>167491522944</v>
      </c>
      <c r="H185" s="9">
        <f t="shared" si="12"/>
        <v>1674915229440</v>
      </c>
      <c r="I185" s="9">
        <f t="shared" si="13"/>
        <v>3409028352</v>
      </c>
      <c r="J185" s="9">
        <f t="shared" si="14"/>
        <v>17045141760</v>
      </c>
      <c r="K185" s="22">
        <f t="shared" si="15"/>
        <v>334983045888</v>
      </c>
    </row>
    <row r="186" spans="2:11" x14ac:dyDescent="0.3">
      <c r="B186" s="9">
        <v>185</v>
      </c>
      <c r="C186" s="9">
        <v>1715021</v>
      </c>
      <c r="D186" s="9">
        <v>17150210</v>
      </c>
      <c r="E186" s="9">
        <v>33931</v>
      </c>
      <c r="F186" s="9">
        <v>169655</v>
      </c>
      <c r="G186" s="9">
        <f t="shared" si="11"/>
        <v>176089781175</v>
      </c>
      <c r="H186" s="9">
        <f t="shared" si="12"/>
        <v>1760897811750</v>
      </c>
      <c r="I186" s="9">
        <f t="shared" si="13"/>
        <v>3483865425</v>
      </c>
      <c r="J186" s="9">
        <f t="shared" si="14"/>
        <v>17419327125</v>
      </c>
      <c r="K186" s="22">
        <f t="shared" si="15"/>
        <v>352179562350</v>
      </c>
    </row>
    <row r="187" spans="2:11" x14ac:dyDescent="0.3">
      <c r="B187" s="9">
        <v>186</v>
      </c>
      <c r="C187" s="9">
        <v>1783622</v>
      </c>
      <c r="D187" s="9">
        <v>17836220</v>
      </c>
      <c r="E187" s="9">
        <v>34301</v>
      </c>
      <c r="F187" s="9">
        <v>171505</v>
      </c>
      <c r="G187" s="9">
        <f t="shared" si="11"/>
        <v>185118560136</v>
      </c>
      <c r="H187" s="9">
        <f t="shared" si="12"/>
        <v>1851185601360</v>
      </c>
      <c r="I187" s="9">
        <f t="shared" si="13"/>
        <v>3560032188</v>
      </c>
      <c r="J187" s="9">
        <f t="shared" si="14"/>
        <v>17800160940</v>
      </c>
      <c r="K187" s="22">
        <f t="shared" si="15"/>
        <v>370237120272</v>
      </c>
    </row>
    <row r="188" spans="2:11" x14ac:dyDescent="0.3">
      <c r="B188" s="9">
        <v>187</v>
      </c>
      <c r="C188" s="9">
        <v>1854967</v>
      </c>
      <c r="D188" s="9">
        <v>18549670</v>
      </c>
      <c r="E188" s="9">
        <v>34673</v>
      </c>
      <c r="F188" s="9">
        <v>173365</v>
      </c>
      <c r="G188" s="9">
        <f t="shared" si="11"/>
        <v>194599023069</v>
      </c>
      <c r="H188" s="9">
        <f t="shared" si="12"/>
        <v>1945990230690</v>
      </c>
      <c r="I188" s="9">
        <f t="shared" si="13"/>
        <v>3637440411</v>
      </c>
      <c r="J188" s="9">
        <f t="shared" si="14"/>
        <v>18187202055</v>
      </c>
      <c r="K188" s="22">
        <f t="shared" si="15"/>
        <v>389198046138</v>
      </c>
    </row>
    <row r="189" spans="2:11" x14ac:dyDescent="0.3">
      <c r="B189" s="9">
        <v>188</v>
      </c>
      <c r="C189" s="9">
        <v>1929166</v>
      </c>
      <c r="D189" s="9">
        <v>19291660</v>
      </c>
      <c r="E189" s="9">
        <v>35047</v>
      </c>
      <c r="F189" s="9">
        <v>175235</v>
      </c>
      <c r="G189" s="9">
        <f t="shared" si="11"/>
        <v>204553329312</v>
      </c>
      <c r="H189" s="9">
        <f t="shared" si="12"/>
        <v>2045533293120</v>
      </c>
      <c r="I189" s="9">
        <f t="shared" si="13"/>
        <v>3716103504</v>
      </c>
      <c r="J189" s="9">
        <f t="shared" si="14"/>
        <v>18580517520</v>
      </c>
      <c r="K189" s="22">
        <f t="shared" si="15"/>
        <v>409106658624</v>
      </c>
    </row>
    <row r="190" spans="2:11" x14ac:dyDescent="0.3">
      <c r="B190" s="9">
        <v>189</v>
      </c>
      <c r="C190" s="9">
        <v>2006333</v>
      </c>
      <c r="D190" s="9">
        <v>20063330</v>
      </c>
      <c r="E190" s="9">
        <v>35423</v>
      </c>
      <c r="F190" s="9">
        <v>177115</v>
      </c>
      <c r="G190" s="9">
        <f t="shared" si="11"/>
        <v>215004663279</v>
      </c>
      <c r="H190" s="9">
        <f t="shared" si="12"/>
        <v>2150046632790</v>
      </c>
      <c r="I190" s="9">
        <f t="shared" si="13"/>
        <v>3796034949</v>
      </c>
      <c r="J190" s="9">
        <f t="shared" si="14"/>
        <v>18980174745</v>
      </c>
      <c r="K190" s="22">
        <f t="shared" si="15"/>
        <v>430009326558</v>
      </c>
    </row>
    <row r="191" spans="2:11" x14ac:dyDescent="0.3">
      <c r="B191" s="9">
        <v>190</v>
      </c>
      <c r="C191" s="9">
        <v>2086587</v>
      </c>
      <c r="D191" s="9">
        <v>20865870</v>
      </c>
      <c r="E191" s="9">
        <v>35801</v>
      </c>
      <c r="F191" s="9">
        <v>179005</v>
      </c>
      <c r="G191" s="9">
        <f t="shared" si="11"/>
        <v>225977372100</v>
      </c>
      <c r="H191" s="9">
        <f t="shared" si="12"/>
        <v>2259773721000</v>
      </c>
      <c r="I191" s="9">
        <f t="shared" si="13"/>
        <v>3877248300</v>
      </c>
      <c r="J191" s="9">
        <f t="shared" si="14"/>
        <v>19386241500</v>
      </c>
      <c r="K191" s="22">
        <f t="shared" si="15"/>
        <v>451954744200</v>
      </c>
    </row>
    <row r="192" spans="2:11" x14ac:dyDescent="0.3">
      <c r="B192" s="9">
        <v>191</v>
      </c>
      <c r="C192" s="9">
        <v>2170051</v>
      </c>
      <c r="D192" s="9">
        <v>21700510</v>
      </c>
      <c r="E192" s="9">
        <v>36180</v>
      </c>
      <c r="F192" s="9">
        <v>180900</v>
      </c>
      <c r="G192" s="9">
        <f t="shared" si="11"/>
        <v>237496891593</v>
      </c>
      <c r="H192" s="9">
        <f t="shared" si="12"/>
        <v>2374968915930</v>
      </c>
      <c r="I192" s="9">
        <f t="shared" si="13"/>
        <v>3959647740</v>
      </c>
      <c r="J192" s="9">
        <f t="shared" si="14"/>
        <v>19798238700</v>
      </c>
      <c r="K192" s="22">
        <f t="shared" si="15"/>
        <v>474993783186</v>
      </c>
    </row>
    <row r="193" spans="2:11" x14ac:dyDescent="0.3">
      <c r="B193" s="9">
        <v>192</v>
      </c>
      <c r="C193" s="9">
        <v>2256854</v>
      </c>
      <c r="D193" s="9">
        <v>22568540</v>
      </c>
      <c r="E193" s="9">
        <v>36562</v>
      </c>
      <c r="F193" s="9">
        <v>182810</v>
      </c>
      <c r="G193" s="9">
        <f t="shared" si="11"/>
        <v>249589997568</v>
      </c>
      <c r="H193" s="9">
        <f t="shared" si="12"/>
        <v>2495899975680</v>
      </c>
      <c r="I193" s="9">
        <f t="shared" si="13"/>
        <v>4043464704</v>
      </c>
      <c r="J193" s="9">
        <f t="shared" si="14"/>
        <v>20217323520</v>
      </c>
      <c r="K193" s="22">
        <f t="shared" si="15"/>
        <v>499179995136</v>
      </c>
    </row>
    <row r="194" spans="2:11" x14ac:dyDescent="0.3">
      <c r="B194" s="9">
        <v>193</v>
      </c>
      <c r="C194" s="9">
        <v>2347129</v>
      </c>
      <c r="D194" s="9">
        <v>23471290</v>
      </c>
      <c r="E194" s="9">
        <v>36946</v>
      </c>
      <c r="F194" s="9">
        <v>184730</v>
      </c>
      <c r="G194" s="9">
        <f t="shared" si="11"/>
        <v>262284624363</v>
      </c>
      <c r="H194" s="9">
        <f t="shared" si="12"/>
        <v>2622846243630</v>
      </c>
      <c r="I194" s="9">
        <f t="shared" si="13"/>
        <v>4128604662</v>
      </c>
      <c r="J194" s="9">
        <f t="shared" si="14"/>
        <v>20643023310</v>
      </c>
      <c r="K194" s="22">
        <f t="shared" si="15"/>
        <v>524569248726</v>
      </c>
    </row>
    <row r="195" spans="2:11" x14ac:dyDescent="0.3">
      <c r="B195" s="9">
        <v>194</v>
      </c>
      <c r="C195" s="9">
        <v>2441015</v>
      </c>
      <c r="D195" s="9">
        <v>24410150</v>
      </c>
      <c r="E195" s="9">
        <v>37332</v>
      </c>
      <c r="F195" s="9">
        <v>186660</v>
      </c>
      <c r="G195" s="9">
        <f t="shared" si="11"/>
        <v>275610121620</v>
      </c>
      <c r="H195" s="9">
        <f t="shared" si="12"/>
        <v>2756101216200</v>
      </c>
      <c r="I195" s="9">
        <f t="shared" si="13"/>
        <v>4215081456</v>
      </c>
      <c r="J195" s="9">
        <f t="shared" si="14"/>
        <v>21075407280</v>
      </c>
      <c r="K195" s="22">
        <f t="shared" si="15"/>
        <v>551220243240</v>
      </c>
    </row>
    <row r="196" spans="2:11" x14ac:dyDescent="0.3">
      <c r="B196" s="9">
        <v>195</v>
      </c>
      <c r="C196" s="9">
        <v>2538656</v>
      </c>
      <c r="D196" s="9">
        <v>25386560</v>
      </c>
      <c r="E196" s="9">
        <v>37720</v>
      </c>
      <c r="F196" s="9">
        <v>188600</v>
      </c>
      <c r="G196" s="9">
        <f t="shared" ref="G196:G259" si="16">C196*$B196*($B196*3)</f>
        <v>289597183200</v>
      </c>
      <c r="H196" s="9">
        <f t="shared" ref="H196:H259" si="17">D196*$B196*($B196*3)</f>
        <v>2895971832000</v>
      </c>
      <c r="I196" s="9">
        <f t="shared" ref="I196:I259" si="18">E196*$B196*($B196*3)</f>
        <v>4302909000</v>
      </c>
      <c r="J196" s="9">
        <f t="shared" ref="J196:J259" si="19">F196*$B196*($B196*3)</f>
        <v>21514545000</v>
      </c>
      <c r="K196" s="22">
        <f t="shared" ref="K196:K259" si="20">G196*2</f>
        <v>579194366400</v>
      </c>
    </row>
    <row r="197" spans="2:11" x14ac:dyDescent="0.3">
      <c r="B197" s="9">
        <v>196</v>
      </c>
      <c r="C197" s="9">
        <v>2640203</v>
      </c>
      <c r="D197" s="9">
        <v>26402030</v>
      </c>
      <c r="E197" s="9">
        <v>38110</v>
      </c>
      <c r="F197" s="9">
        <v>190550</v>
      </c>
      <c r="G197" s="9">
        <f t="shared" si="16"/>
        <v>304278115344</v>
      </c>
      <c r="H197" s="9">
        <f t="shared" si="17"/>
        <v>3042781153440</v>
      </c>
      <c r="I197" s="9">
        <f t="shared" si="18"/>
        <v>4392101280</v>
      </c>
      <c r="J197" s="9">
        <f t="shared" si="19"/>
        <v>21960506400</v>
      </c>
      <c r="K197" s="22">
        <f t="shared" si="20"/>
        <v>608556230688</v>
      </c>
    </row>
    <row r="198" spans="2:11" x14ac:dyDescent="0.3">
      <c r="B198" s="9">
        <v>197</v>
      </c>
      <c r="C198" s="9">
        <v>2745812</v>
      </c>
      <c r="D198" s="9">
        <v>27458120</v>
      </c>
      <c r="E198" s="9">
        <v>38502</v>
      </c>
      <c r="F198" s="9">
        <v>192510</v>
      </c>
      <c r="G198" s="9">
        <f t="shared" si="16"/>
        <v>319686653724</v>
      </c>
      <c r="H198" s="9">
        <f t="shared" si="17"/>
        <v>3196866537240</v>
      </c>
      <c r="I198" s="9">
        <f t="shared" si="18"/>
        <v>4482672354</v>
      </c>
      <c r="J198" s="9">
        <f t="shared" si="19"/>
        <v>22413361770</v>
      </c>
      <c r="K198" s="22">
        <f t="shared" si="20"/>
        <v>639373307448</v>
      </c>
    </row>
    <row r="199" spans="2:11" x14ac:dyDescent="0.3">
      <c r="B199" s="9">
        <v>198</v>
      </c>
      <c r="C199" s="9">
        <v>2855645</v>
      </c>
      <c r="D199" s="9">
        <v>28556450</v>
      </c>
      <c r="E199" s="9">
        <v>38896</v>
      </c>
      <c r="F199" s="9">
        <v>194480</v>
      </c>
      <c r="G199" s="9">
        <f t="shared" si="16"/>
        <v>335858119740</v>
      </c>
      <c r="H199" s="9">
        <f t="shared" si="17"/>
        <v>3358581197400</v>
      </c>
      <c r="I199" s="9">
        <f t="shared" si="18"/>
        <v>4574636352</v>
      </c>
      <c r="J199" s="9">
        <f t="shared" si="19"/>
        <v>22873181760</v>
      </c>
      <c r="K199" s="22">
        <f t="shared" si="20"/>
        <v>671716239480</v>
      </c>
    </row>
    <row r="200" spans="2:11" x14ac:dyDescent="0.3">
      <c r="B200" s="9">
        <v>199</v>
      </c>
      <c r="C200" s="9">
        <v>2969871</v>
      </c>
      <c r="D200" s="9">
        <v>29698710</v>
      </c>
      <c r="E200" s="9">
        <v>39292</v>
      </c>
      <c r="F200" s="9">
        <v>196460</v>
      </c>
      <c r="G200" s="9">
        <f t="shared" si="16"/>
        <v>352829584413</v>
      </c>
      <c r="H200" s="9">
        <f t="shared" si="17"/>
        <v>3528295844130</v>
      </c>
      <c r="I200" s="9">
        <f t="shared" si="18"/>
        <v>4668007476</v>
      </c>
      <c r="J200" s="9">
        <f t="shared" si="19"/>
        <v>23340037380</v>
      </c>
      <c r="K200" s="22">
        <f t="shared" si="20"/>
        <v>705659168826</v>
      </c>
    </row>
    <row r="201" spans="2:11" x14ac:dyDescent="0.3">
      <c r="B201" s="9">
        <v>200</v>
      </c>
      <c r="C201" s="9">
        <v>3088666</v>
      </c>
      <c r="D201" s="9">
        <v>30886660</v>
      </c>
      <c r="E201" s="9">
        <v>39690</v>
      </c>
      <c r="F201" s="9">
        <v>198450</v>
      </c>
      <c r="G201" s="9">
        <f t="shared" si="16"/>
        <v>370639920000</v>
      </c>
      <c r="H201" s="9">
        <f t="shared" si="17"/>
        <v>3706399200000</v>
      </c>
      <c r="I201" s="9">
        <f t="shared" si="18"/>
        <v>4762800000</v>
      </c>
      <c r="J201" s="9">
        <f t="shared" si="19"/>
        <v>23814000000</v>
      </c>
      <c r="K201" s="22">
        <f t="shared" si="20"/>
        <v>741279840000</v>
      </c>
    </row>
    <row r="202" spans="2:11" x14ac:dyDescent="0.3">
      <c r="B202" s="9">
        <v>201</v>
      </c>
      <c r="C202" s="9">
        <v>3212213</v>
      </c>
      <c r="D202" s="9">
        <v>32122130</v>
      </c>
      <c r="E202" s="9">
        <v>40090</v>
      </c>
      <c r="F202" s="9">
        <v>200450</v>
      </c>
      <c r="G202" s="9">
        <f t="shared" si="16"/>
        <v>389329852239</v>
      </c>
      <c r="H202" s="9">
        <f t="shared" si="17"/>
        <v>3893298522390</v>
      </c>
      <c r="I202" s="9">
        <f t="shared" si="18"/>
        <v>4859028270</v>
      </c>
      <c r="J202" s="9">
        <f t="shared" si="19"/>
        <v>24295141350</v>
      </c>
      <c r="K202" s="22">
        <f t="shared" si="20"/>
        <v>778659704478</v>
      </c>
    </row>
    <row r="203" spans="2:11" x14ac:dyDescent="0.3">
      <c r="B203" s="9">
        <v>202</v>
      </c>
      <c r="C203" s="9">
        <v>3340702</v>
      </c>
      <c r="D203" s="9">
        <v>33407020</v>
      </c>
      <c r="E203" s="9">
        <v>40492</v>
      </c>
      <c r="F203" s="9">
        <v>202460</v>
      </c>
      <c r="G203" s="9">
        <f t="shared" si="16"/>
        <v>408942013224</v>
      </c>
      <c r="H203" s="9">
        <f t="shared" si="17"/>
        <v>4089420132240</v>
      </c>
      <c r="I203" s="9">
        <f t="shared" si="18"/>
        <v>4956706704</v>
      </c>
      <c r="J203" s="9">
        <f t="shared" si="19"/>
        <v>24783533520</v>
      </c>
      <c r="K203" s="22">
        <f t="shared" si="20"/>
        <v>817884026448</v>
      </c>
    </row>
    <row r="204" spans="2:11" x14ac:dyDescent="0.3">
      <c r="B204" s="9">
        <v>203</v>
      </c>
      <c r="C204" s="9">
        <v>3340702</v>
      </c>
      <c r="D204" s="9">
        <v>33407020</v>
      </c>
      <c r="E204" s="9">
        <v>40492</v>
      </c>
      <c r="F204" s="9">
        <v>202460</v>
      </c>
      <c r="G204" s="9">
        <f t="shared" si="16"/>
        <v>413000966154</v>
      </c>
      <c r="H204" s="9">
        <f t="shared" si="17"/>
        <v>4130009661540</v>
      </c>
      <c r="I204" s="9">
        <f t="shared" si="18"/>
        <v>5005904484</v>
      </c>
      <c r="J204" s="9">
        <f t="shared" si="19"/>
        <v>25029522420</v>
      </c>
      <c r="K204" s="22">
        <f t="shared" si="20"/>
        <v>826001932308</v>
      </c>
    </row>
    <row r="205" spans="2:11" x14ac:dyDescent="0.3">
      <c r="B205" s="9">
        <v>204</v>
      </c>
      <c r="C205" s="9">
        <v>3474331</v>
      </c>
      <c r="D205" s="9">
        <v>34743310</v>
      </c>
      <c r="E205" s="9">
        <v>40896</v>
      </c>
      <c r="F205" s="9">
        <v>204480</v>
      </c>
      <c r="G205" s="9">
        <f t="shared" si="16"/>
        <v>433763276688</v>
      </c>
      <c r="H205" s="9">
        <f t="shared" si="17"/>
        <v>4337632766880</v>
      </c>
      <c r="I205" s="9">
        <f t="shared" si="18"/>
        <v>5105783808</v>
      </c>
      <c r="J205" s="9">
        <f t="shared" si="19"/>
        <v>25528919040</v>
      </c>
      <c r="K205" s="22">
        <f t="shared" si="20"/>
        <v>867526553376</v>
      </c>
    </row>
    <row r="206" spans="2:11" x14ac:dyDescent="0.3">
      <c r="B206" s="9">
        <v>205</v>
      </c>
      <c r="C206" s="9">
        <v>3613305</v>
      </c>
      <c r="D206" s="9">
        <v>36133050</v>
      </c>
      <c r="E206" s="9">
        <v>41302</v>
      </c>
      <c r="F206" s="9">
        <v>206510</v>
      </c>
      <c r="G206" s="9">
        <f t="shared" si="16"/>
        <v>455547427875</v>
      </c>
      <c r="H206" s="9">
        <f t="shared" si="17"/>
        <v>4555474278750</v>
      </c>
      <c r="I206" s="9">
        <f t="shared" si="18"/>
        <v>5207149650</v>
      </c>
      <c r="J206" s="9">
        <f t="shared" si="19"/>
        <v>26035748250</v>
      </c>
      <c r="K206" s="22">
        <f t="shared" si="20"/>
        <v>911094855750</v>
      </c>
    </row>
    <row r="207" spans="2:11" x14ac:dyDescent="0.3">
      <c r="B207" s="9">
        <v>206</v>
      </c>
      <c r="C207" s="9">
        <v>3757838</v>
      </c>
      <c r="D207" s="9">
        <v>37578380</v>
      </c>
      <c r="E207" s="9">
        <v>41710</v>
      </c>
      <c r="F207" s="9">
        <v>208550</v>
      </c>
      <c r="G207" s="9">
        <f t="shared" si="16"/>
        <v>478402840104</v>
      </c>
      <c r="H207" s="9">
        <f t="shared" si="17"/>
        <v>4784028401040</v>
      </c>
      <c r="I207" s="9">
        <f t="shared" si="18"/>
        <v>5310016680</v>
      </c>
      <c r="J207" s="9">
        <f t="shared" si="19"/>
        <v>26550083400</v>
      </c>
      <c r="K207" s="22">
        <f t="shared" si="20"/>
        <v>956805680208</v>
      </c>
    </row>
    <row r="208" spans="2:11" x14ac:dyDescent="0.3">
      <c r="B208" s="9">
        <v>207</v>
      </c>
      <c r="C208" s="9">
        <v>3908152</v>
      </c>
      <c r="D208" s="9">
        <v>39081520</v>
      </c>
      <c r="E208" s="9">
        <v>42120</v>
      </c>
      <c r="F208" s="9">
        <v>210600</v>
      </c>
      <c r="G208" s="9">
        <f t="shared" si="16"/>
        <v>502381215144</v>
      </c>
      <c r="H208" s="9">
        <f t="shared" si="17"/>
        <v>5023812151440</v>
      </c>
      <c r="I208" s="9">
        <f t="shared" si="18"/>
        <v>5414399640</v>
      </c>
      <c r="J208" s="9">
        <f t="shared" si="19"/>
        <v>27071998200</v>
      </c>
      <c r="K208" s="22">
        <f t="shared" si="20"/>
        <v>1004762430288</v>
      </c>
    </row>
    <row r="209" spans="2:11" x14ac:dyDescent="0.3">
      <c r="B209" s="9">
        <v>208</v>
      </c>
      <c r="C209" s="9">
        <v>4064479</v>
      </c>
      <c r="D209" s="9">
        <v>40644790</v>
      </c>
      <c r="E209" s="9">
        <v>42532</v>
      </c>
      <c r="F209" s="9">
        <v>212660</v>
      </c>
      <c r="G209" s="9">
        <f t="shared" si="16"/>
        <v>527536858368</v>
      </c>
      <c r="H209" s="9">
        <f t="shared" si="17"/>
        <v>5275368583680</v>
      </c>
      <c r="I209" s="9">
        <f t="shared" si="18"/>
        <v>5520313344</v>
      </c>
      <c r="J209" s="9">
        <f t="shared" si="19"/>
        <v>27601566720</v>
      </c>
      <c r="K209" s="22">
        <f t="shared" si="20"/>
        <v>1055073716736</v>
      </c>
    </row>
    <row r="210" spans="2:11" x14ac:dyDescent="0.3">
      <c r="B210" s="9">
        <v>209</v>
      </c>
      <c r="C210" s="9">
        <v>4227059</v>
      </c>
      <c r="D210" s="9">
        <v>42270590</v>
      </c>
      <c r="E210" s="9">
        <v>42946</v>
      </c>
      <c r="F210" s="9">
        <v>214730</v>
      </c>
      <c r="G210" s="9">
        <f t="shared" si="16"/>
        <v>553926492537</v>
      </c>
      <c r="H210" s="9">
        <f t="shared" si="17"/>
        <v>5539264925370</v>
      </c>
      <c r="I210" s="9">
        <f t="shared" si="18"/>
        <v>5627772678</v>
      </c>
      <c r="J210" s="9">
        <f t="shared" si="19"/>
        <v>28138863390</v>
      </c>
      <c r="K210" s="22">
        <f t="shared" si="20"/>
        <v>1107852985074</v>
      </c>
    </row>
    <row r="211" spans="2:11" x14ac:dyDescent="0.3">
      <c r="B211" s="9">
        <v>210</v>
      </c>
      <c r="C211" s="9">
        <v>4396142</v>
      </c>
      <c r="D211" s="9">
        <v>43961420</v>
      </c>
      <c r="E211" s="9">
        <v>43362</v>
      </c>
      <c r="F211" s="9">
        <v>216810</v>
      </c>
      <c r="G211" s="9">
        <f t="shared" si="16"/>
        <v>581609586600</v>
      </c>
      <c r="H211" s="9">
        <f t="shared" si="17"/>
        <v>5816095866000</v>
      </c>
      <c r="I211" s="9">
        <f t="shared" si="18"/>
        <v>5736792600</v>
      </c>
      <c r="J211" s="9">
        <f t="shared" si="19"/>
        <v>28683963000</v>
      </c>
      <c r="K211" s="22">
        <f t="shared" si="20"/>
        <v>1163219173200</v>
      </c>
    </row>
    <row r="212" spans="2:11" x14ac:dyDescent="0.3">
      <c r="B212" s="9">
        <v>211</v>
      </c>
      <c r="C212" s="9">
        <v>4571988</v>
      </c>
      <c r="D212" s="9">
        <v>45719880</v>
      </c>
      <c r="E212" s="9">
        <v>43780</v>
      </c>
      <c r="F212" s="9">
        <v>218900</v>
      </c>
      <c r="G212" s="9">
        <f t="shared" si="16"/>
        <v>610648433244</v>
      </c>
      <c r="H212" s="9">
        <f t="shared" si="17"/>
        <v>6106484332440</v>
      </c>
      <c r="I212" s="9">
        <f t="shared" si="18"/>
        <v>5847388140</v>
      </c>
      <c r="J212" s="9">
        <f t="shared" si="19"/>
        <v>29236940700</v>
      </c>
      <c r="K212" s="22">
        <f t="shared" si="20"/>
        <v>1221296866488</v>
      </c>
    </row>
    <row r="213" spans="2:11" x14ac:dyDescent="0.3">
      <c r="B213" s="9">
        <v>212</v>
      </c>
      <c r="C213" s="9">
        <v>4754868</v>
      </c>
      <c r="D213" s="9">
        <v>47548680</v>
      </c>
      <c r="E213" s="9">
        <v>44200</v>
      </c>
      <c r="F213" s="9">
        <v>221000</v>
      </c>
      <c r="G213" s="9">
        <f t="shared" si="16"/>
        <v>641108362176</v>
      </c>
      <c r="H213" s="9">
        <f t="shared" si="17"/>
        <v>6411083621760</v>
      </c>
      <c r="I213" s="9">
        <f t="shared" si="18"/>
        <v>5959574400</v>
      </c>
      <c r="J213" s="9">
        <f t="shared" si="19"/>
        <v>29797872000</v>
      </c>
      <c r="K213" s="22">
        <f t="shared" si="20"/>
        <v>1282216724352</v>
      </c>
    </row>
    <row r="214" spans="2:11" x14ac:dyDescent="0.3">
      <c r="B214" s="9">
        <v>213</v>
      </c>
      <c r="C214" s="9">
        <v>4945063</v>
      </c>
      <c r="D214" s="9">
        <v>49450630</v>
      </c>
      <c r="E214" s="9">
        <v>44622</v>
      </c>
      <c r="F214" s="9">
        <v>223110</v>
      </c>
      <c r="G214" s="9">
        <f t="shared" si="16"/>
        <v>673057689741</v>
      </c>
      <c r="H214" s="9">
        <f t="shared" si="17"/>
        <v>6730576897410</v>
      </c>
      <c r="I214" s="9">
        <f t="shared" si="18"/>
        <v>6073366554</v>
      </c>
      <c r="J214" s="9">
        <f t="shared" si="19"/>
        <v>30366832770</v>
      </c>
      <c r="K214" s="22">
        <f t="shared" si="20"/>
        <v>1346115379482</v>
      </c>
    </row>
    <row r="215" spans="2:11" x14ac:dyDescent="0.3">
      <c r="B215" s="9">
        <v>214</v>
      </c>
      <c r="C215" s="9">
        <v>5142866</v>
      </c>
      <c r="D215" s="9">
        <v>51428660</v>
      </c>
      <c r="E215" s="9">
        <v>45046</v>
      </c>
      <c r="F215" s="9">
        <v>225230</v>
      </c>
      <c r="G215" s="9">
        <f t="shared" si="16"/>
        <v>706568074008</v>
      </c>
      <c r="H215" s="9">
        <f t="shared" si="17"/>
        <v>7065680740080</v>
      </c>
      <c r="I215" s="9">
        <f t="shared" si="18"/>
        <v>6188779848</v>
      </c>
      <c r="J215" s="9">
        <f t="shared" si="19"/>
        <v>30943899240</v>
      </c>
      <c r="K215" s="22">
        <f t="shared" si="20"/>
        <v>1413136148016</v>
      </c>
    </row>
    <row r="216" spans="2:11" x14ac:dyDescent="0.3">
      <c r="B216" s="9">
        <v>215</v>
      </c>
      <c r="C216" s="9">
        <v>5348581</v>
      </c>
      <c r="D216" s="9">
        <v>53485810</v>
      </c>
      <c r="E216" s="9">
        <v>45472</v>
      </c>
      <c r="F216" s="9">
        <v>227360</v>
      </c>
      <c r="G216" s="9">
        <f t="shared" si="16"/>
        <v>741714470175</v>
      </c>
      <c r="H216" s="9">
        <f t="shared" si="17"/>
        <v>7417144701750</v>
      </c>
      <c r="I216" s="9">
        <f t="shared" si="18"/>
        <v>6305829600</v>
      </c>
      <c r="J216" s="9">
        <f t="shared" si="19"/>
        <v>31529148000</v>
      </c>
      <c r="K216" s="22">
        <f t="shared" si="20"/>
        <v>1483428940350</v>
      </c>
    </row>
    <row r="217" spans="2:11" x14ac:dyDescent="0.3">
      <c r="B217" s="9">
        <v>216</v>
      </c>
      <c r="C217" s="9">
        <v>5562525</v>
      </c>
      <c r="D217" s="9">
        <v>55625250</v>
      </c>
      <c r="E217" s="9">
        <v>45900</v>
      </c>
      <c r="F217" s="9">
        <v>229500</v>
      </c>
      <c r="G217" s="9">
        <f t="shared" si="16"/>
        <v>778575499200</v>
      </c>
      <c r="H217" s="9">
        <f t="shared" si="17"/>
        <v>7785754992000</v>
      </c>
      <c r="I217" s="9">
        <f t="shared" si="18"/>
        <v>6424531200</v>
      </c>
      <c r="J217" s="9">
        <f t="shared" si="19"/>
        <v>32122656000</v>
      </c>
      <c r="K217" s="22">
        <f t="shared" si="20"/>
        <v>1557150998400</v>
      </c>
    </row>
    <row r="218" spans="2:11" x14ac:dyDescent="0.3">
      <c r="B218" s="9">
        <v>217</v>
      </c>
      <c r="C218" s="9">
        <v>5785026</v>
      </c>
      <c r="D218" s="9">
        <v>57850260</v>
      </c>
      <c r="E218" s="9">
        <v>46331</v>
      </c>
      <c r="F218" s="9">
        <v>231655</v>
      </c>
      <c r="G218" s="9">
        <f t="shared" si="16"/>
        <v>817233267942</v>
      </c>
      <c r="H218" s="9">
        <f t="shared" si="17"/>
        <v>8172332679420</v>
      </c>
      <c r="I218" s="9">
        <f t="shared" si="18"/>
        <v>6545041377</v>
      </c>
      <c r="J218" s="9">
        <f t="shared" si="19"/>
        <v>32725206885</v>
      </c>
      <c r="K218" s="22">
        <f t="shared" si="20"/>
        <v>1634466535884</v>
      </c>
    </row>
    <row r="219" spans="2:11" x14ac:dyDescent="0.3">
      <c r="B219" s="9">
        <v>218</v>
      </c>
      <c r="C219" s="9">
        <v>6016428</v>
      </c>
      <c r="D219" s="9">
        <v>60164280</v>
      </c>
      <c r="E219" s="9">
        <v>46763</v>
      </c>
      <c r="F219" s="9">
        <v>233815</v>
      </c>
      <c r="G219" s="9">
        <f t="shared" si="16"/>
        <v>857774172816</v>
      </c>
      <c r="H219" s="9">
        <f t="shared" si="17"/>
        <v>8577741728160</v>
      </c>
      <c r="I219" s="9">
        <f t="shared" si="18"/>
        <v>6667094436</v>
      </c>
      <c r="J219" s="9">
        <f t="shared" si="19"/>
        <v>33335472180</v>
      </c>
      <c r="K219" s="22">
        <f t="shared" si="20"/>
        <v>1715548345632</v>
      </c>
    </row>
    <row r="220" spans="2:11" x14ac:dyDescent="0.3">
      <c r="B220" s="9">
        <v>219</v>
      </c>
      <c r="C220" s="9">
        <v>6257086</v>
      </c>
      <c r="D220" s="9">
        <v>62570860</v>
      </c>
      <c r="E220" s="9">
        <v>47197</v>
      </c>
      <c r="F220" s="9">
        <v>235985</v>
      </c>
      <c r="G220" s="9">
        <f t="shared" si="16"/>
        <v>900288304938</v>
      </c>
      <c r="H220" s="9">
        <f t="shared" si="17"/>
        <v>9002883049380</v>
      </c>
      <c r="I220" s="9">
        <f t="shared" si="18"/>
        <v>6790845951</v>
      </c>
      <c r="J220" s="9">
        <f t="shared" si="19"/>
        <v>33954229755</v>
      </c>
      <c r="K220" s="22">
        <f t="shared" si="20"/>
        <v>1800576609876</v>
      </c>
    </row>
    <row r="221" spans="2:11" x14ac:dyDescent="0.3">
      <c r="B221" s="9">
        <v>220</v>
      </c>
      <c r="C221" s="9">
        <v>6507370</v>
      </c>
      <c r="D221" s="9">
        <v>65073700</v>
      </c>
      <c r="E221" s="9">
        <v>47633</v>
      </c>
      <c r="F221" s="9">
        <v>238165</v>
      </c>
      <c r="G221" s="9">
        <f t="shared" si="16"/>
        <v>944870124000</v>
      </c>
      <c r="H221" s="9">
        <f t="shared" si="17"/>
        <v>9448701240000</v>
      </c>
      <c r="I221" s="9">
        <f t="shared" si="18"/>
        <v>6916311600</v>
      </c>
      <c r="J221" s="9">
        <f t="shared" si="19"/>
        <v>34581558000</v>
      </c>
      <c r="K221" s="22">
        <f t="shared" si="20"/>
        <v>1889740248000</v>
      </c>
    </row>
    <row r="222" spans="2:11" x14ac:dyDescent="0.3">
      <c r="B222" s="9">
        <v>221</v>
      </c>
      <c r="C222" s="9">
        <v>6767665</v>
      </c>
      <c r="D222" s="9">
        <v>67676650</v>
      </c>
      <c r="E222" s="9">
        <v>48071</v>
      </c>
      <c r="F222" s="9">
        <v>240355</v>
      </c>
      <c r="G222" s="9">
        <f t="shared" si="16"/>
        <v>991618578795</v>
      </c>
      <c r="H222" s="9">
        <f t="shared" si="17"/>
        <v>9916185787950</v>
      </c>
      <c r="I222" s="9">
        <f t="shared" si="18"/>
        <v>7043507133</v>
      </c>
      <c r="J222" s="9">
        <f t="shared" si="19"/>
        <v>35217535665</v>
      </c>
      <c r="K222" s="22">
        <f t="shared" si="20"/>
        <v>1983237157590</v>
      </c>
    </row>
    <row r="223" spans="2:11" x14ac:dyDescent="0.3">
      <c r="B223" s="9">
        <v>222</v>
      </c>
      <c r="C223" s="9">
        <v>7038372</v>
      </c>
      <c r="D223" s="9">
        <v>70383720</v>
      </c>
      <c r="E223" s="9">
        <v>48511</v>
      </c>
      <c r="F223" s="9">
        <v>242555</v>
      </c>
      <c r="G223" s="9">
        <f t="shared" si="16"/>
        <v>1040637376944</v>
      </c>
      <c r="H223" s="9">
        <f t="shared" si="17"/>
        <v>10406373769440</v>
      </c>
      <c r="I223" s="9">
        <f t="shared" si="18"/>
        <v>7172448372</v>
      </c>
      <c r="J223" s="9">
        <f t="shared" si="19"/>
        <v>35862241860</v>
      </c>
      <c r="K223" s="22">
        <f t="shared" si="20"/>
        <v>2081274753888</v>
      </c>
    </row>
    <row r="224" spans="2:11" x14ac:dyDescent="0.3">
      <c r="B224" s="9">
        <v>223</v>
      </c>
      <c r="C224" s="9">
        <v>7319907</v>
      </c>
      <c r="D224" s="9">
        <v>73199070</v>
      </c>
      <c r="E224" s="9">
        <v>48954</v>
      </c>
      <c r="F224" s="9">
        <v>244770</v>
      </c>
      <c r="G224" s="9">
        <f t="shared" si="16"/>
        <v>1092034965609</v>
      </c>
      <c r="H224" s="9">
        <f t="shared" si="17"/>
        <v>10920349656090</v>
      </c>
      <c r="I224" s="9">
        <f t="shared" si="18"/>
        <v>7303300398</v>
      </c>
      <c r="J224" s="9">
        <f t="shared" si="19"/>
        <v>36516501990</v>
      </c>
      <c r="K224" s="22">
        <f t="shared" si="20"/>
        <v>2184069931218</v>
      </c>
    </row>
    <row r="225" spans="2:11" x14ac:dyDescent="0.3">
      <c r="B225" s="9">
        <v>224</v>
      </c>
      <c r="C225" s="9">
        <v>7612704</v>
      </c>
      <c r="D225" s="9">
        <v>76127040</v>
      </c>
      <c r="E225" s="9">
        <v>49398</v>
      </c>
      <c r="F225" s="9">
        <v>246990</v>
      </c>
      <c r="G225" s="9">
        <f t="shared" si="16"/>
        <v>1145925107712</v>
      </c>
      <c r="H225" s="9">
        <f t="shared" si="17"/>
        <v>11459251077120</v>
      </c>
      <c r="I225" s="9">
        <f t="shared" si="18"/>
        <v>7435782144</v>
      </c>
      <c r="J225" s="9">
        <f t="shared" si="19"/>
        <v>37178910720</v>
      </c>
      <c r="K225" s="22">
        <f t="shared" si="20"/>
        <v>2291850215424</v>
      </c>
    </row>
    <row r="226" spans="2:11" x14ac:dyDescent="0.3">
      <c r="B226" s="9">
        <v>225</v>
      </c>
      <c r="C226" s="9">
        <v>7917213</v>
      </c>
      <c r="D226" s="9">
        <v>79172130</v>
      </c>
      <c r="E226" s="9">
        <v>49844</v>
      </c>
      <c r="F226" s="9">
        <v>249220</v>
      </c>
      <c r="G226" s="9">
        <f t="shared" si="16"/>
        <v>1202426724375</v>
      </c>
      <c r="H226" s="9">
        <f t="shared" si="17"/>
        <v>12024267243750</v>
      </c>
      <c r="I226" s="9">
        <f t="shared" si="18"/>
        <v>7570057500</v>
      </c>
      <c r="J226" s="9">
        <f t="shared" si="19"/>
        <v>37850287500</v>
      </c>
      <c r="K226" s="22">
        <f t="shared" si="20"/>
        <v>2404853448750</v>
      </c>
    </row>
    <row r="227" spans="2:11" x14ac:dyDescent="0.3">
      <c r="B227" s="9">
        <v>226</v>
      </c>
      <c r="C227" s="9">
        <v>8233902</v>
      </c>
      <c r="D227" s="9">
        <v>82339020</v>
      </c>
      <c r="E227" s="9">
        <v>50292</v>
      </c>
      <c r="F227" s="9">
        <v>251460</v>
      </c>
      <c r="G227" s="9">
        <f t="shared" si="16"/>
        <v>1261664335656</v>
      </c>
      <c r="H227" s="9">
        <f t="shared" si="17"/>
        <v>12616643356560</v>
      </c>
      <c r="I227" s="9">
        <f t="shared" si="18"/>
        <v>7706142576</v>
      </c>
      <c r="J227" s="9">
        <f t="shared" si="19"/>
        <v>38530712880</v>
      </c>
      <c r="K227" s="22">
        <f t="shared" si="20"/>
        <v>2523328671312</v>
      </c>
    </row>
    <row r="228" spans="2:11" x14ac:dyDescent="0.3">
      <c r="B228" s="9">
        <v>227</v>
      </c>
      <c r="C228" s="9">
        <v>8563259</v>
      </c>
      <c r="D228" s="9">
        <v>85632590</v>
      </c>
      <c r="E228" s="9">
        <v>50743</v>
      </c>
      <c r="F228" s="9">
        <v>253715</v>
      </c>
      <c r="G228" s="9">
        <f t="shared" si="16"/>
        <v>1323768519033</v>
      </c>
      <c r="H228" s="9">
        <f t="shared" si="17"/>
        <v>13237685190330</v>
      </c>
      <c r="I228" s="9">
        <f t="shared" si="18"/>
        <v>7844208141</v>
      </c>
      <c r="J228" s="9">
        <f t="shared" si="19"/>
        <v>39221040705</v>
      </c>
      <c r="K228" s="22">
        <f t="shared" si="20"/>
        <v>2647537038066</v>
      </c>
    </row>
    <row r="229" spans="2:11" x14ac:dyDescent="0.3">
      <c r="B229" s="9">
        <v>228</v>
      </c>
      <c r="C229" s="9">
        <v>8905790</v>
      </c>
      <c r="D229" s="9">
        <v>89057900</v>
      </c>
      <c r="E229" s="9">
        <v>51195</v>
      </c>
      <c r="F229" s="9">
        <v>255975</v>
      </c>
      <c r="G229" s="9">
        <f t="shared" si="16"/>
        <v>1388875762080</v>
      </c>
      <c r="H229" s="9">
        <f t="shared" si="17"/>
        <v>13888757620800</v>
      </c>
      <c r="I229" s="9">
        <f t="shared" si="18"/>
        <v>7983962640</v>
      </c>
      <c r="J229" s="9">
        <f t="shared" si="19"/>
        <v>39919813200</v>
      </c>
      <c r="K229" s="22">
        <f t="shared" si="20"/>
        <v>2777751524160</v>
      </c>
    </row>
    <row r="230" spans="2:11" x14ac:dyDescent="0.3">
      <c r="B230" s="9">
        <v>229</v>
      </c>
      <c r="C230" s="9">
        <v>9262022</v>
      </c>
      <c r="D230" s="9">
        <v>92620220</v>
      </c>
      <c r="E230" s="9">
        <v>51649</v>
      </c>
      <c r="F230" s="9">
        <v>258245</v>
      </c>
      <c r="G230" s="9">
        <f t="shared" si="16"/>
        <v>1457129087106</v>
      </c>
      <c r="H230" s="9">
        <f t="shared" si="17"/>
        <v>14571290871060</v>
      </c>
      <c r="I230" s="9">
        <f t="shared" si="18"/>
        <v>8125575627</v>
      </c>
      <c r="J230" s="9">
        <f t="shared" si="19"/>
        <v>40627878135</v>
      </c>
      <c r="K230" s="22">
        <f t="shared" si="20"/>
        <v>2914258174212</v>
      </c>
    </row>
    <row r="231" spans="2:11" x14ac:dyDescent="0.3">
      <c r="B231" s="9">
        <v>230</v>
      </c>
      <c r="C231" s="9">
        <v>9632503</v>
      </c>
      <c r="D231" s="9">
        <v>96325030</v>
      </c>
      <c r="E231" s="9">
        <v>52106</v>
      </c>
      <c r="F231" s="9">
        <v>260530</v>
      </c>
      <c r="G231" s="9">
        <f t="shared" si="16"/>
        <v>1528678226100</v>
      </c>
      <c r="H231" s="9">
        <f t="shared" si="17"/>
        <v>15286782261000</v>
      </c>
      <c r="I231" s="9">
        <f t="shared" si="18"/>
        <v>8269222200</v>
      </c>
      <c r="J231" s="9">
        <f t="shared" si="19"/>
        <v>41346111000</v>
      </c>
      <c r="K231" s="22">
        <f t="shared" si="20"/>
        <v>3057356452200</v>
      </c>
    </row>
    <row r="232" spans="2:11" x14ac:dyDescent="0.3">
      <c r="B232" s="9">
        <v>231</v>
      </c>
      <c r="C232" s="9">
        <v>10017804</v>
      </c>
      <c r="D232" s="9">
        <v>100178040</v>
      </c>
      <c r="E232" s="9">
        <v>52564</v>
      </c>
      <c r="F232" s="9">
        <v>262820</v>
      </c>
      <c r="G232" s="9">
        <f t="shared" si="16"/>
        <v>1603680117732</v>
      </c>
      <c r="H232" s="9">
        <f t="shared" si="17"/>
        <v>16036801177320</v>
      </c>
      <c r="I232" s="9">
        <f t="shared" si="18"/>
        <v>8414602812</v>
      </c>
      <c r="J232" s="9">
        <f t="shared" si="19"/>
        <v>42073014060</v>
      </c>
      <c r="K232" s="22">
        <f t="shared" si="20"/>
        <v>3207360235464</v>
      </c>
    </row>
    <row r="233" spans="2:11" x14ac:dyDescent="0.3">
      <c r="B233" s="9">
        <v>232</v>
      </c>
      <c r="C233" s="9">
        <v>10418517</v>
      </c>
      <c r="D233" s="9">
        <v>104185170</v>
      </c>
      <c r="E233" s="9">
        <v>53024</v>
      </c>
      <c r="F233" s="9">
        <v>265120</v>
      </c>
      <c r="G233" s="9">
        <f t="shared" si="16"/>
        <v>1682298777024</v>
      </c>
      <c r="H233" s="9">
        <f t="shared" si="17"/>
        <v>16822987770240</v>
      </c>
      <c r="I233" s="9">
        <f t="shared" si="18"/>
        <v>8561891328</v>
      </c>
      <c r="J233" s="9">
        <f t="shared" si="19"/>
        <v>42809456640</v>
      </c>
      <c r="K233" s="22">
        <f t="shared" si="20"/>
        <v>3364597554048</v>
      </c>
    </row>
    <row r="234" spans="2:11" x14ac:dyDescent="0.3">
      <c r="B234" s="9">
        <v>233</v>
      </c>
      <c r="C234" s="9">
        <v>10835258</v>
      </c>
      <c r="D234" s="9">
        <v>108352580</v>
      </c>
      <c r="E234" s="9">
        <v>53487</v>
      </c>
      <c r="F234" s="9">
        <v>267435</v>
      </c>
      <c r="G234" s="9">
        <f t="shared" si="16"/>
        <v>1764705964686</v>
      </c>
      <c r="H234" s="9">
        <f t="shared" si="17"/>
        <v>17647059646860</v>
      </c>
      <c r="I234" s="9">
        <f t="shared" si="18"/>
        <v>8711267229</v>
      </c>
      <c r="J234" s="9">
        <f t="shared" si="19"/>
        <v>43556336145</v>
      </c>
      <c r="K234" s="22">
        <f t="shared" si="20"/>
        <v>3529411929372</v>
      </c>
    </row>
    <row r="235" spans="2:11" x14ac:dyDescent="0.3">
      <c r="B235" s="9">
        <v>234</v>
      </c>
      <c r="C235" s="9">
        <v>11268669</v>
      </c>
      <c r="D235" s="9">
        <v>112686690</v>
      </c>
      <c r="E235" s="9">
        <v>53951</v>
      </c>
      <c r="F235" s="9">
        <v>269755</v>
      </c>
      <c r="G235" s="9">
        <f t="shared" si="16"/>
        <v>1851081719292</v>
      </c>
      <c r="H235" s="9">
        <f t="shared" si="17"/>
        <v>18510817192920</v>
      </c>
      <c r="I235" s="9">
        <f t="shared" si="18"/>
        <v>8862422868</v>
      </c>
      <c r="J235" s="9">
        <f t="shared" si="19"/>
        <v>44312114340</v>
      </c>
      <c r="K235" s="22">
        <f t="shared" si="20"/>
        <v>3702163438584</v>
      </c>
    </row>
    <row r="236" spans="2:11" x14ac:dyDescent="0.3">
      <c r="B236" s="9">
        <v>235</v>
      </c>
      <c r="C236" s="9">
        <v>11719416</v>
      </c>
      <c r="D236" s="9">
        <v>117194160</v>
      </c>
      <c r="E236" s="9">
        <v>54417</v>
      </c>
      <c r="F236" s="9">
        <v>272085</v>
      </c>
      <c r="G236" s="9">
        <f t="shared" si="16"/>
        <v>1941614245800</v>
      </c>
      <c r="H236" s="9">
        <f t="shared" si="17"/>
        <v>19416142458000</v>
      </c>
      <c r="I236" s="9">
        <f t="shared" si="18"/>
        <v>9015536475</v>
      </c>
      <c r="J236" s="9">
        <f t="shared" si="19"/>
        <v>45077682375</v>
      </c>
      <c r="K236" s="22">
        <f t="shared" si="20"/>
        <v>3883228491600</v>
      </c>
    </row>
    <row r="237" spans="2:11" x14ac:dyDescent="0.3">
      <c r="B237" s="9">
        <v>236</v>
      </c>
      <c r="C237" s="9">
        <v>12188193</v>
      </c>
      <c r="D237" s="9">
        <v>121881930</v>
      </c>
      <c r="E237" s="9">
        <v>54886</v>
      </c>
      <c r="F237" s="9">
        <v>274430</v>
      </c>
      <c r="G237" s="9">
        <f t="shared" si="16"/>
        <v>2036500791984</v>
      </c>
      <c r="H237" s="9">
        <f t="shared" si="17"/>
        <v>20365007919840</v>
      </c>
      <c r="I237" s="9">
        <f t="shared" si="18"/>
        <v>9170791968</v>
      </c>
      <c r="J237" s="9">
        <f t="shared" si="19"/>
        <v>45853959840</v>
      </c>
      <c r="K237" s="22">
        <f t="shared" si="20"/>
        <v>4073001583968</v>
      </c>
    </row>
    <row r="238" spans="2:11" x14ac:dyDescent="0.3">
      <c r="B238" s="9">
        <v>237</v>
      </c>
      <c r="C238" s="9">
        <v>12675721</v>
      </c>
      <c r="D238" s="9">
        <v>126757210</v>
      </c>
      <c r="E238" s="9">
        <v>55356</v>
      </c>
      <c r="F238" s="9">
        <v>276780</v>
      </c>
      <c r="G238" s="9">
        <f t="shared" si="16"/>
        <v>2135947718547</v>
      </c>
      <c r="H238" s="9">
        <f t="shared" si="17"/>
        <v>21359477185470</v>
      </c>
      <c r="I238" s="9">
        <f t="shared" si="18"/>
        <v>9327873492</v>
      </c>
      <c r="J238" s="9">
        <f t="shared" si="19"/>
        <v>46639367460</v>
      </c>
      <c r="K238" s="22">
        <f t="shared" si="20"/>
        <v>4271895437094</v>
      </c>
    </row>
    <row r="239" spans="2:11" x14ac:dyDescent="0.3">
      <c r="B239" s="9">
        <v>238</v>
      </c>
      <c r="C239" s="9">
        <v>13182750</v>
      </c>
      <c r="D239" s="9">
        <v>131827500</v>
      </c>
      <c r="E239" s="9">
        <v>55829</v>
      </c>
      <c r="F239" s="9">
        <v>279145</v>
      </c>
      <c r="G239" s="9">
        <f t="shared" si="16"/>
        <v>2240171073000</v>
      </c>
      <c r="H239" s="9">
        <f t="shared" si="17"/>
        <v>22401710730000</v>
      </c>
      <c r="I239" s="9">
        <f t="shared" si="18"/>
        <v>9487133628</v>
      </c>
      <c r="J239" s="9">
        <f t="shared" si="19"/>
        <v>47435668140</v>
      </c>
      <c r="K239" s="22">
        <f t="shared" si="20"/>
        <v>4480342146000</v>
      </c>
    </row>
    <row r="240" spans="2:11" x14ac:dyDescent="0.3">
      <c r="B240" s="9">
        <v>239</v>
      </c>
      <c r="C240" s="9">
        <v>13710060</v>
      </c>
      <c r="D240" s="9">
        <v>137100600</v>
      </c>
      <c r="E240" s="9">
        <v>56303</v>
      </c>
      <c r="F240" s="9">
        <v>281515</v>
      </c>
      <c r="G240" s="9">
        <f t="shared" si="16"/>
        <v>2349397011780</v>
      </c>
      <c r="H240" s="9">
        <f t="shared" si="17"/>
        <v>23493970117800</v>
      </c>
      <c r="I240" s="9">
        <f t="shared" si="18"/>
        <v>9648250989</v>
      </c>
      <c r="J240" s="9">
        <f t="shared" si="19"/>
        <v>48241254945</v>
      </c>
      <c r="K240" s="22">
        <f t="shared" si="20"/>
        <v>4698794023560</v>
      </c>
    </row>
    <row r="241" spans="2:11" x14ac:dyDescent="0.3">
      <c r="B241" s="9">
        <v>240</v>
      </c>
      <c r="C241" s="9">
        <v>14258463</v>
      </c>
      <c r="D241" s="9">
        <v>142584630</v>
      </c>
      <c r="E241" s="9">
        <v>56780</v>
      </c>
      <c r="F241" s="9">
        <v>283900</v>
      </c>
      <c r="G241" s="9">
        <f t="shared" si="16"/>
        <v>2463862406400</v>
      </c>
      <c r="H241" s="9">
        <f t="shared" si="17"/>
        <v>24638624064000</v>
      </c>
      <c r="I241" s="9">
        <f t="shared" si="18"/>
        <v>9811584000</v>
      </c>
      <c r="J241" s="9">
        <f t="shared" si="19"/>
        <v>49057920000</v>
      </c>
      <c r="K241" s="22">
        <f t="shared" si="20"/>
        <v>4927724812800</v>
      </c>
    </row>
    <row r="242" spans="2:11" x14ac:dyDescent="0.3">
      <c r="B242" s="9">
        <v>241</v>
      </c>
      <c r="C242" s="9">
        <v>14828802</v>
      </c>
      <c r="D242" s="9">
        <v>148288020</v>
      </c>
      <c r="E242" s="9">
        <v>57258</v>
      </c>
      <c r="F242" s="9">
        <v>286290</v>
      </c>
      <c r="G242" s="9">
        <f t="shared" si="16"/>
        <v>2583814946886</v>
      </c>
      <c r="H242" s="9">
        <f t="shared" si="17"/>
        <v>25838149468860</v>
      </c>
      <c r="I242" s="9">
        <f t="shared" si="18"/>
        <v>9976805694</v>
      </c>
      <c r="J242" s="9">
        <f t="shared" si="19"/>
        <v>49884028470</v>
      </c>
      <c r="K242" s="22">
        <f t="shared" si="20"/>
        <v>5167629893772</v>
      </c>
    </row>
    <row r="243" spans="2:11" x14ac:dyDescent="0.3">
      <c r="B243" s="9">
        <v>242</v>
      </c>
      <c r="C243" s="9">
        <v>15421955</v>
      </c>
      <c r="D243" s="9">
        <v>154219550</v>
      </c>
      <c r="E243" s="9">
        <v>57739</v>
      </c>
      <c r="F243" s="9">
        <v>288695</v>
      </c>
      <c r="G243" s="9">
        <f t="shared" si="16"/>
        <v>2709514117860</v>
      </c>
      <c r="H243" s="9">
        <f t="shared" si="17"/>
        <v>27095141178600</v>
      </c>
      <c r="I243" s="9">
        <f t="shared" si="18"/>
        <v>10144280388</v>
      </c>
      <c r="J243" s="9">
        <f t="shared" si="19"/>
        <v>50721401940</v>
      </c>
      <c r="K243" s="22">
        <f t="shared" si="20"/>
        <v>5419028235720</v>
      </c>
    </row>
    <row r="244" spans="2:11" x14ac:dyDescent="0.3">
      <c r="B244" s="9">
        <v>243</v>
      </c>
      <c r="C244" s="9">
        <v>16038834</v>
      </c>
      <c r="D244" s="9">
        <v>160388340</v>
      </c>
      <c r="E244" s="9">
        <v>58221</v>
      </c>
      <c r="F244" s="9">
        <v>291105</v>
      </c>
      <c r="G244" s="9">
        <f t="shared" si="16"/>
        <v>2841231326598</v>
      </c>
      <c r="H244" s="9">
        <f t="shared" si="17"/>
        <v>28412313265980</v>
      </c>
      <c r="I244" s="9">
        <f t="shared" si="18"/>
        <v>10313675487</v>
      </c>
      <c r="J244" s="9">
        <f t="shared" si="19"/>
        <v>51568377435</v>
      </c>
      <c r="K244" s="22">
        <f t="shared" si="20"/>
        <v>5682462653196</v>
      </c>
    </row>
    <row r="245" spans="2:11" x14ac:dyDescent="0.3">
      <c r="B245" s="9">
        <v>244</v>
      </c>
      <c r="C245" s="9">
        <v>16680388</v>
      </c>
      <c r="D245" s="9">
        <v>166803880</v>
      </c>
      <c r="E245" s="9">
        <v>58706</v>
      </c>
      <c r="F245" s="9">
        <v>293530</v>
      </c>
      <c r="G245" s="9">
        <f t="shared" si="16"/>
        <v>2979250739904</v>
      </c>
      <c r="H245" s="9">
        <f t="shared" si="17"/>
        <v>29792507399040</v>
      </c>
      <c r="I245" s="9">
        <f t="shared" si="18"/>
        <v>10485361248</v>
      </c>
      <c r="J245" s="9">
        <f t="shared" si="19"/>
        <v>52426806240</v>
      </c>
      <c r="K245" s="22">
        <f t="shared" si="20"/>
        <v>5958501479808</v>
      </c>
    </row>
    <row r="246" spans="2:11" x14ac:dyDescent="0.3">
      <c r="B246" s="9">
        <v>245</v>
      </c>
      <c r="C246" s="9">
        <v>17347604</v>
      </c>
      <c r="D246" s="9">
        <v>173476040</v>
      </c>
      <c r="E246" s="9">
        <v>59192</v>
      </c>
      <c r="F246" s="9">
        <v>295960</v>
      </c>
      <c r="G246" s="9">
        <f t="shared" si="16"/>
        <v>3123869790300</v>
      </c>
      <c r="H246" s="9">
        <f t="shared" si="17"/>
        <v>31238697903000</v>
      </c>
      <c r="I246" s="9">
        <f t="shared" si="18"/>
        <v>10658999400</v>
      </c>
      <c r="J246" s="9">
        <f t="shared" si="19"/>
        <v>53294997000</v>
      </c>
      <c r="K246" s="22">
        <f t="shared" si="20"/>
        <v>6247739580600</v>
      </c>
    </row>
    <row r="247" spans="2:11" x14ac:dyDescent="0.3">
      <c r="B247" s="9">
        <v>246</v>
      </c>
      <c r="C247" s="9">
        <v>18041509</v>
      </c>
      <c r="D247" s="9">
        <v>180415090</v>
      </c>
      <c r="E247" s="9">
        <v>59681</v>
      </c>
      <c r="F247" s="9">
        <v>298405</v>
      </c>
      <c r="G247" s="9">
        <f t="shared" si="16"/>
        <v>3275399875932</v>
      </c>
      <c r="H247" s="9">
        <f t="shared" si="17"/>
        <v>32753998759320</v>
      </c>
      <c r="I247" s="9">
        <f t="shared" si="18"/>
        <v>10834966188</v>
      </c>
      <c r="J247" s="9">
        <f t="shared" si="19"/>
        <v>54174830940</v>
      </c>
      <c r="K247" s="22">
        <f t="shared" si="20"/>
        <v>6550799751864</v>
      </c>
    </row>
    <row r="248" spans="2:11" x14ac:dyDescent="0.3">
      <c r="B248" s="9">
        <v>247</v>
      </c>
      <c r="C248" s="9">
        <v>18763170</v>
      </c>
      <c r="D248" s="9">
        <v>187631700</v>
      </c>
      <c r="E248" s="9">
        <v>60171</v>
      </c>
      <c r="F248" s="9">
        <v>300855</v>
      </c>
      <c r="G248" s="9">
        <f t="shared" si="16"/>
        <v>3434166715590</v>
      </c>
      <c r="H248" s="9">
        <f t="shared" si="17"/>
        <v>34341667155900</v>
      </c>
      <c r="I248" s="9">
        <f t="shared" si="18"/>
        <v>11012917617</v>
      </c>
      <c r="J248" s="9">
        <f t="shared" si="19"/>
        <v>55064588085</v>
      </c>
      <c r="K248" s="22">
        <f t="shared" si="20"/>
        <v>6868333431180</v>
      </c>
    </row>
    <row r="249" spans="2:11" x14ac:dyDescent="0.3">
      <c r="B249" s="9">
        <v>248</v>
      </c>
      <c r="C249" s="9">
        <v>19513697</v>
      </c>
      <c r="D249" s="9">
        <v>195136970</v>
      </c>
      <c r="E249" s="9">
        <v>60664</v>
      </c>
      <c r="F249" s="9">
        <v>303320</v>
      </c>
      <c r="G249" s="9">
        <f t="shared" si="16"/>
        <v>3600511260864</v>
      </c>
      <c r="H249" s="9">
        <f t="shared" si="17"/>
        <v>36005112608640</v>
      </c>
      <c r="I249" s="9">
        <f t="shared" si="18"/>
        <v>11193235968</v>
      </c>
      <c r="J249" s="9">
        <f t="shared" si="19"/>
        <v>55966179840</v>
      </c>
      <c r="K249" s="22">
        <f t="shared" si="20"/>
        <v>7201022521728</v>
      </c>
    </row>
    <row r="250" spans="2:11" x14ac:dyDescent="0.3">
      <c r="B250" s="9">
        <v>249</v>
      </c>
      <c r="C250" s="9">
        <v>20294245</v>
      </c>
      <c r="D250" s="9">
        <v>202942450</v>
      </c>
      <c r="E250" s="9">
        <v>61159</v>
      </c>
      <c r="F250" s="9">
        <v>305795</v>
      </c>
      <c r="G250" s="9">
        <f t="shared" si="16"/>
        <v>3774790452735</v>
      </c>
      <c r="H250" s="9">
        <f t="shared" si="17"/>
        <v>37747904527350</v>
      </c>
      <c r="I250" s="9">
        <f t="shared" si="18"/>
        <v>11375757477</v>
      </c>
      <c r="J250" s="9">
        <f t="shared" si="19"/>
        <v>56878787385</v>
      </c>
      <c r="K250" s="22">
        <f t="shared" si="20"/>
        <v>7549580905470</v>
      </c>
    </row>
    <row r="251" spans="2:11" x14ac:dyDescent="0.3">
      <c r="B251" s="9">
        <v>250</v>
      </c>
      <c r="C251" s="9">
        <v>21106015</v>
      </c>
      <c r="D251" s="9">
        <v>211060150</v>
      </c>
      <c r="E251" s="9">
        <v>61655</v>
      </c>
      <c r="F251" s="9">
        <v>308275</v>
      </c>
      <c r="G251" s="9">
        <f t="shared" si="16"/>
        <v>3957377812500</v>
      </c>
      <c r="H251" s="9">
        <f t="shared" si="17"/>
        <v>39573778125000</v>
      </c>
      <c r="I251" s="9">
        <f t="shared" si="18"/>
        <v>11560312500</v>
      </c>
      <c r="J251" s="9">
        <f t="shared" si="19"/>
        <v>57801562500</v>
      </c>
      <c r="K251" s="22">
        <f t="shared" si="20"/>
        <v>7914755625000</v>
      </c>
    </row>
    <row r="252" spans="2:11" x14ac:dyDescent="0.3">
      <c r="B252" s="9">
        <v>251</v>
      </c>
      <c r="C252" s="9">
        <v>21950256</v>
      </c>
      <c r="D252" s="9">
        <v>219502560</v>
      </c>
      <c r="E252" s="9">
        <v>62154</v>
      </c>
      <c r="F252" s="9">
        <v>310770</v>
      </c>
      <c r="G252" s="9">
        <f t="shared" si="16"/>
        <v>4148664234768</v>
      </c>
      <c r="H252" s="9">
        <f t="shared" si="17"/>
        <v>41486642347680</v>
      </c>
      <c r="I252" s="9">
        <f t="shared" si="18"/>
        <v>11747292462</v>
      </c>
      <c r="J252" s="9">
        <f t="shared" si="19"/>
        <v>58736462310</v>
      </c>
      <c r="K252" s="22">
        <f t="shared" si="20"/>
        <v>8297328469536</v>
      </c>
    </row>
    <row r="253" spans="2:11" x14ac:dyDescent="0.3">
      <c r="B253" s="9">
        <v>252</v>
      </c>
      <c r="C253" s="9">
        <v>22828267</v>
      </c>
      <c r="D253" s="9">
        <v>228282670</v>
      </c>
      <c r="E253" s="9">
        <v>62655</v>
      </c>
      <c r="F253" s="9">
        <v>313275</v>
      </c>
      <c r="G253" s="9">
        <f t="shared" si="16"/>
        <v>4349058802704</v>
      </c>
      <c r="H253" s="9">
        <f t="shared" si="17"/>
        <v>43490588027040</v>
      </c>
      <c r="I253" s="9">
        <f t="shared" si="18"/>
        <v>11936529360</v>
      </c>
      <c r="J253" s="9">
        <f t="shared" si="19"/>
        <v>59682646800</v>
      </c>
      <c r="K253" s="22">
        <f t="shared" si="20"/>
        <v>8698117605408</v>
      </c>
    </row>
    <row r="254" spans="2:11" x14ac:dyDescent="0.3">
      <c r="B254" s="9">
        <v>253</v>
      </c>
      <c r="C254" s="9">
        <v>23741398</v>
      </c>
      <c r="D254" s="9">
        <v>237413980</v>
      </c>
      <c r="E254" s="9">
        <v>63157</v>
      </c>
      <c r="F254" s="9">
        <v>315785</v>
      </c>
      <c r="G254" s="9">
        <f t="shared" si="16"/>
        <v>4558989433746</v>
      </c>
      <c r="H254" s="9">
        <f t="shared" si="17"/>
        <v>45589894337460</v>
      </c>
      <c r="I254" s="9">
        <f t="shared" si="18"/>
        <v>12127849239</v>
      </c>
      <c r="J254" s="9">
        <f t="shared" si="19"/>
        <v>60639246195</v>
      </c>
      <c r="K254" s="22">
        <f t="shared" si="20"/>
        <v>9117978867492</v>
      </c>
    </row>
    <row r="255" spans="2:11" x14ac:dyDescent="0.3">
      <c r="B255" s="9">
        <v>254</v>
      </c>
      <c r="C255" s="9">
        <v>24691054</v>
      </c>
      <c r="D255" s="9">
        <v>246910540</v>
      </c>
      <c r="E255" s="9">
        <v>63662</v>
      </c>
      <c r="F255" s="9">
        <v>318310</v>
      </c>
      <c r="G255" s="9">
        <f t="shared" si="16"/>
        <v>4778904119592</v>
      </c>
      <c r="H255" s="9">
        <f t="shared" si="17"/>
        <v>47789041195920</v>
      </c>
      <c r="I255" s="9">
        <f t="shared" si="18"/>
        <v>12321652776</v>
      </c>
      <c r="J255" s="9">
        <f t="shared" si="19"/>
        <v>61608263880</v>
      </c>
      <c r="K255" s="22">
        <f t="shared" si="20"/>
        <v>9557808239184</v>
      </c>
    </row>
    <row r="256" spans="2:11" x14ac:dyDescent="0.3">
      <c r="B256" s="9">
        <v>255</v>
      </c>
      <c r="C256" s="9">
        <v>25678697</v>
      </c>
      <c r="D256" s="9">
        <v>256786970</v>
      </c>
      <c r="E256" s="9">
        <v>64169</v>
      </c>
      <c r="F256" s="9">
        <v>320845</v>
      </c>
      <c r="G256" s="9">
        <f t="shared" si="16"/>
        <v>5009271817275</v>
      </c>
      <c r="H256" s="9">
        <f t="shared" si="17"/>
        <v>50092718172750</v>
      </c>
      <c r="I256" s="9">
        <f t="shared" si="18"/>
        <v>12517767675</v>
      </c>
      <c r="J256" s="9">
        <f t="shared" si="19"/>
        <v>62588838375</v>
      </c>
      <c r="K256" s="22">
        <f t="shared" si="20"/>
        <v>10018543634550</v>
      </c>
    </row>
    <row r="257" spans="2:11" x14ac:dyDescent="0.3">
      <c r="B257" s="9">
        <v>256</v>
      </c>
      <c r="C257" s="9">
        <v>26705845</v>
      </c>
      <c r="D257" s="9">
        <v>267058450</v>
      </c>
      <c r="E257" s="9">
        <v>64677</v>
      </c>
      <c r="F257" s="9">
        <v>323385</v>
      </c>
      <c r="G257" s="9">
        <f t="shared" si="16"/>
        <v>5250582773760</v>
      </c>
      <c r="H257" s="9">
        <f t="shared" si="17"/>
        <v>52505827737600</v>
      </c>
      <c r="I257" s="9">
        <f t="shared" si="18"/>
        <v>12716015616</v>
      </c>
      <c r="J257" s="9">
        <f t="shared" si="19"/>
        <v>63580078080</v>
      </c>
      <c r="K257" s="22">
        <f t="shared" si="20"/>
        <v>10501165547520</v>
      </c>
    </row>
    <row r="258" spans="2:11" x14ac:dyDescent="0.3">
      <c r="B258" s="9">
        <v>257</v>
      </c>
      <c r="C258" s="9">
        <v>27774079</v>
      </c>
      <c r="D258" s="9">
        <v>277740790</v>
      </c>
      <c r="E258" s="9">
        <v>65188</v>
      </c>
      <c r="F258" s="9">
        <v>325940</v>
      </c>
      <c r="G258" s="9">
        <f t="shared" si="16"/>
        <v>5503350431613</v>
      </c>
      <c r="H258" s="9">
        <f t="shared" si="17"/>
        <v>55033504316130</v>
      </c>
      <c r="I258" s="9">
        <f t="shared" si="18"/>
        <v>12916806636</v>
      </c>
      <c r="J258" s="9">
        <f t="shared" si="19"/>
        <v>64584033180</v>
      </c>
      <c r="K258" s="22">
        <f t="shared" si="20"/>
        <v>11006700863226</v>
      </c>
    </row>
    <row r="259" spans="2:11" x14ac:dyDescent="0.3">
      <c r="B259" s="9">
        <v>258</v>
      </c>
      <c r="C259" s="9">
        <v>28885043</v>
      </c>
      <c r="D259" s="9">
        <v>288850430</v>
      </c>
      <c r="E259" s="9">
        <v>65701</v>
      </c>
      <c r="F259" s="9">
        <v>328505</v>
      </c>
      <c r="G259" s="9">
        <f t="shared" si="16"/>
        <v>5768112006756</v>
      </c>
      <c r="H259" s="9">
        <f t="shared" si="17"/>
        <v>57681120067560</v>
      </c>
      <c r="I259" s="9">
        <f t="shared" si="18"/>
        <v>13119964092</v>
      </c>
      <c r="J259" s="9">
        <f t="shared" si="19"/>
        <v>65599820460</v>
      </c>
      <c r="K259" s="22">
        <f t="shared" si="20"/>
        <v>11536224013512</v>
      </c>
    </row>
    <row r="260" spans="2:11" x14ac:dyDescent="0.3">
      <c r="B260" s="9">
        <v>259</v>
      </c>
      <c r="C260" s="9">
        <v>30040445</v>
      </c>
      <c r="D260" s="9">
        <v>300404450</v>
      </c>
      <c r="E260" s="9">
        <v>66216</v>
      </c>
      <c r="F260" s="9">
        <v>331080</v>
      </c>
      <c r="G260" s="9">
        <f t="shared" ref="G260:G302" si="21">C260*$B260*($B260*3)</f>
        <v>6045429273135</v>
      </c>
      <c r="H260" s="9">
        <f t="shared" ref="H260:H302" si="22">D260*$B260*($B260*3)</f>
        <v>60454292731350</v>
      </c>
      <c r="I260" s="9">
        <f t="shared" ref="I260:I302" si="23">E260*$B260*($B260*3)</f>
        <v>13325506488</v>
      </c>
      <c r="J260" s="9">
        <f t="shared" ref="J260:J302" si="24">F260*$B260*($B260*3)</f>
        <v>66627532440</v>
      </c>
      <c r="K260" s="22">
        <f t="shared" ref="K260:K302" si="25">G260*2</f>
        <v>12090858546270</v>
      </c>
    </row>
    <row r="261" spans="2:11" x14ac:dyDescent="0.3">
      <c r="B261" s="9">
        <v>260</v>
      </c>
      <c r="C261" s="9">
        <v>31242063</v>
      </c>
      <c r="D261" s="9">
        <v>312420630</v>
      </c>
      <c r="E261" s="9">
        <v>66733</v>
      </c>
      <c r="F261" s="9">
        <v>333665</v>
      </c>
      <c r="G261" s="9">
        <f t="shared" si="21"/>
        <v>6335890376400</v>
      </c>
      <c r="H261" s="9">
        <f t="shared" si="22"/>
        <v>63358903764000</v>
      </c>
      <c r="I261" s="9">
        <f t="shared" si="23"/>
        <v>13533452400</v>
      </c>
      <c r="J261" s="9">
        <f t="shared" si="24"/>
        <v>67667262000</v>
      </c>
      <c r="K261" s="22">
        <f t="shared" si="25"/>
        <v>12671780752800</v>
      </c>
    </row>
    <row r="262" spans="2:11" x14ac:dyDescent="0.3">
      <c r="B262" s="9">
        <v>261</v>
      </c>
      <c r="C262" s="9">
        <v>32491746</v>
      </c>
      <c r="D262" s="9">
        <v>324917460</v>
      </c>
      <c r="E262" s="9">
        <v>67252</v>
      </c>
      <c r="F262" s="9">
        <v>336260</v>
      </c>
      <c r="G262" s="9">
        <f t="shared" si="21"/>
        <v>6640110687798</v>
      </c>
      <c r="H262" s="9">
        <f t="shared" si="22"/>
        <v>66401106877980</v>
      </c>
      <c r="I262" s="9">
        <f t="shared" si="23"/>
        <v>13743820476</v>
      </c>
      <c r="J262" s="9">
        <f t="shared" si="24"/>
        <v>68719102380</v>
      </c>
      <c r="K262" s="22">
        <f t="shared" si="25"/>
        <v>13280221375596</v>
      </c>
    </row>
    <row r="263" spans="2:11" x14ac:dyDescent="0.3">
      <c r="B263" s="9">
        <v>262</v>
      </c>
      <c r="C263" s="9">
        <v>33791416</v>
      </c>
      <c r="D263" s="9">
        <v>337914160</v>
      </c>
      <c r="E263" s="9">
        <v>67772</v>
      </c>
      <c r="F263" s="9">
        <v>338860</v>
      </c>
      <c r="G263" s="9">
        <f t="shared" si="21"/>
        <v>6958733879712</v>
      </c>
      <c r="H263" s="9">
        <f t="shared" si="22"/>
        <v>69587338797120</v>
      </c>
      <c r="I263" s="9">
        <f t="shared" si="23"/>
        <v>13956423504</v>
      </c>
      <c r="J263" s="9">
        <f t="shared" si="24"/>
        <v>69782117520</v>
      </c>
      <c r="K263" s="22">
        <f t="shared" si="25"/>
        <v>13917467759424</v>
      </c>
    </row>
    <row r="264" spans="2:11" x14ac:dyDescent="0.3">
      <c r="B264" s="9">
        <v>263</v>
      </c>
      <c r="C264" s="9">
        <v>35143073</v>
      </c>
      <c r="D264" s="9">
        <v>351430730</v>
      </c>
      <c r="E264" s="9">
        <v>68295</v>
      </c>
      <c r="F264" s="9">
        <v>341475</v>
      </c>
      <c r="G264" s="9">
        <f t="shared" si="21"/>
        <v>7292433649011</v>
      </c>
      <c r="H264" s="9">
        <f t="shared" si="22"/>
        <v>72924336490110</v>
      </c>
      <c r="I264" s="9">
        <f t="shared" si="23"/>
        <v>14171690565</v>
      </c>
      <c r="J264" s="9">
        <f t="shared" si="24"/>
        <v>70858452825</v>
      </c>
      <c r="K264" s="22">
        <f t="shared" si="25"/>
        <v>14584867298022</v>
      </c>
    </row>
    <row r="265" spans="2:11" x14ac:dyDescent="0.3">
      <c r="B265" s="9">
        <v>264</v>
      </c>
      <c r="C265" s="9">
        <v>36548796</v>
      </c>
      <c r="D265" s="9">
        <v>365487960</v>
      </c>
      <c r="E265" s="9">
        <v>68820</v>
      </c>
      <c r="F265" s="9">
        <v>344100</v>
      </c>
      <c r="G265" s="9">
        <f t="shared" si="21"/>
        <v>7641914658048</v>
      </c>
      <c r="H265" s="9">
        <f t="shared" si="22"/>
        <v>76419146580480</v>
      </c>
      <c r="I265" s="9">
        <f t="shared" si="23"/>
        <v>14389436160</v>
      </c>
      <c r="J265" s="9">
        <f t="shared" si="24"/>
        <v>71947180800</v>
      </c>
      <c r="K265" s="22">
        <f t="shared" si="25"/>
        <v>15283829316096</v>
      </c>
    </row>
    <row r="266" spans="2:11" x14ac:dyDescent="0.3">
      <c r="B266" s="9">
        <v>265</v>
      </c>
      <c r="C266" s="9">
        <v>38010748</v>
      </c>
      <c r="D266" s="9">
        <v>380107480</v>
      </c>
      <c r="E266" s="9">
        <v>69347</v>
      </c>
      <c r="F266" s="9">
        <v>346735</v>
      </c>
      <c r="G266" s="9">
        <f t="shared" si="21"/>
        <v>8007914334900</v>
      </c>
      <c r="H266" s="9">
        <f t="shared" si="22"/>
        <v>80079143349000</v>
      </c>
      <c r="I266" s="9">
        <f t="shared" si="23"/>
        <v>14609679225</v>
      </c>
      <c r="J266" s="9">
        <f t="shared" si="24"/>
        <v>73048396125</v>
      </c>
      <c r="K266" s="22">
        <f t="shared" si="25"/>
        <v>16015828669800</v>
      </c>
    </row>
    <row r="267" spans="2:11" x14ac:dyDescent="0.3">
      <c r="B267" s="9">
        <v>266</v>
      </c>
      <c r="C267" s="9">
        <v>39531178</v>
      </c>
      <c r="D267" s="9">
        <v>395311780</v>
      </c>
      <c r="E267" s="9">
        <v>69876</v>
      </c>
      <c r="F267" s="9">
        <v>349380</v>
      </c>
      <c r="G267" s="9">
        <f t="shared" si="21"/>
        <v>8391204091704</v>
      </c>
      <c r="H267" s="9">
        <f t="shared" si="22"/>
        <v>83912040917040</v>
      </c>
      <c r="I267" s="9">
        <f t="shared" si="23"/>
        <v>14832438768</v>
      </c>
      <c r="J267" s="9">
        <f t="shared" si="24"/>
        <v>74162193840</v>
      </c>
      <c r="K267" s="22">
        <f t="shared" si="25"/>
        <v>16782408183408</v>
      </c>
    </row>
    <row r="268" spans="2:11" x14ac:dyDescent="0.3">
      <c r="B268" s="9">
        <v>267</v>
      </c>
      <c r="C268" s="9">
        <v>41112426</v>
      </c>
      <c r="D268" s="9">
        <v>411124260</v>
      </c>
      <c r="E268" s="9">
        <v>70407</v>
      </c>
      <c r="F268" s="9">
        <v>352035</v>
      </c>
      <c r="G268" s="9">
        <f t="shared" si="21"/>
        <v>8792591211342</v>
      </c>
      <c r="H268" s="9">
        <f t="shared" si="22"/>
        <v>87925912113420</v>
      </c>
      <c r="I268" s="9">
        <f t="shared" si="23"/>
        <v>15057733869</v>
      </c>
      <c r="J268" s="9">
        <f t="shared" si="24"/>
        <v>75288669345</v>
      </c>
      <c r="K268" s="22">
        <f t="shared" si="25"/>
        <v>17585182422684</v>
      </c>
    </row>
    <row r="269" spans="2:11" x14ac:dyDescent="0.3">
      <c r="B269" s="9">
        <v>268</v>
      </c>
      <c r="C269" s="9">
        <v>42756924</v>
      </c>
      <c r="D269" s="9">
        <v>427569240</v>
      </c>
      <c r="E269" s="9">
        <v>70940</v>
      </c>
      <c r="F269" s="9">
        <v>354700</v>
      </c>
      <c r="G269" s="9">
        <f t="shared" si="21"/>
        <v>9212919928128</v>
      </c>
      <c r="H269" s="9">
        <f t="shared" si="22"/>
        <v>92129199281280</v>
      </c>
      <c r="I269" s="9">
        <f t="shared" si="23"/>
        <v>15285583680</v>
      </c>
      <c r="J269" s="9">
        <f t="shared" si="24"/>
        <v>76427918400</v>
      </c>
      <c r="K269" s="22">
        <f t="shared" si="25"/>
        <v>18425839856256</v>
      </c>
    </row>
    <row r="270" spans="2:11" x14ac:dyDescent="0.3">
      <c r="B270" s="9">
        <v>269</v>
      </c>
      <c r="C270" s="9">
        <v>44467201</v>
      </c>
      <c r="D270" s="9">
        <v>444672010</v>
      </c>
      <c r="E270" s="9">
        <v>71475</v>
      </c>
      <c r="F270" s="9">
        <v>357375</v>
      </c>
      <c r="G270" s="9">
        <f t="shared" si="21"/>
        <v>9653073394683</v>
      </c>
      <c r="H270" s="9">
        <f t="shared" si="22"/>
        <v>96530733946830</v>
      </c>
      <c r="I270" s="9">
        <f t="shared" si="23"/>
        <v>15516007425</v>
      </c>
      <c r="J270" s="9">
        <f t="shared" si="24"/>
        <v>77580037125</v>
      </c>
      <c r="K270" s="22">
        <f t="shared" si="25"/>
        <v>19306146789366</v>
      </c>
    </row>
    <row r="271" spans="2:11" x14ac:dyDescent="0.3">
      <c r="B271" s="9">
        <v>270</v>
      </c>
      <c r="C271" s="9">
        <v>46245890</v>
      </c>
      <c r="D271" s="9">
        <v>462458900</v>
      </c>
      <c r="E271" s="9">
        <v>72012</v>
      </c>
      <c r="F271" s="9">
        <v>360060</v>
      </c>
      <c r="G271" s="9">
        <f t="shared" si="21"/>
        <v>10113976143000</v>
      </c>
      <c r="H271" s="9">
        <f t="shared" si="22"/>
        <v>101139761430000</v>
      </c>
      <c r="I271" s="9">
        <f t="shared" si="23"/>
        <v>15749024400</v>
      </c>
      <c r="J271" s="9">
        <f t="shared" si="24"/>
        <v>78745122000</v>
      </c>
      <c r="K271" s="22">
        <f t="shared" si="25"/>
        <v>20227952286000</v>
      </c>
    </row>
    <row r="272" spans="2:11" x14ac:dyDescent="0.3">
      <c r="B272" s="9">
        <v>271</v>
      </c>
      <c r="C272" s="9">
        <v>48095726</v>
      </c>
      <c r="D272" s="9">
        <v>480957260</v>
      </c>
      <c r="E272" s="9">
        <v>72551</v>
      </c>
      <c r="F272" s="9">
        <v>362755</v>
      </c>
      <c r="G272" s="9">
        <f t="shared" si="21"/>
        <v>10596594639498</v>
      </c>
      <c r="H272" s="9">
        <f t="shared" si="22"/>
        <v>105965946394980</v>
      </c>
      <c r="I272" s="9">
        <f t="shared" si="23"/>
        <v>15984653973</v>
      </c>
      <c r="J272" s="9">
        <f t="shared" si="24"/>
        <v>79923269865</v>
      </c>
      <c r="K272" s="22">
        <f t="shared" si="25"/>
        <v>21193189278996</v>
      </c>
    </row>
    <row r="273" spans="2:11" x14ac:dyDescent="0.3">
      <c r="B273" s="9">
        <v>272</v>
      </c>
      <c r="C273" s="9">
        <v>50019556</v>
      </c>
      <c r="D273" s="9">
        <v>500195560</v>
      </c>
      <c r="E273" s="9">
        <v>73092</v>
      </c>
      <c r="F273" s="9">
        <v>365460</v>
      </c>
      <c r="G273" s="9">
        <f t="shared" si="21"/>
        <v>11101940493312</v>
      </c>
      <c r="H273" s="9">
        <f t="shared" si="22"/>
        <v>111019404933120</v>
      </c>
      <c r="I273" s="9">
        <f t="shared" si="23"/>
        <v>16222915584</v>
      </c>
      <c r="J273" s="9">
        <f t="shared" si="24"/>
        <v>81114577920</v>
      </c>
      <c r="K273" s="22">
        <f t="shared" si="25"/>
        <v>22203880986624</v>
      </c>
    </row>
    <row r="274" spans="2:11" x14ac:dyDescent="0.3">
      <c r="B274" s="9">
        <v>273</v>
      </c>
      <c r="C274" s="9">
        <v>52020339</v>
      </c>
      <c r="D274" s="9">
        <v>520203390</v>
      </c>
      <c r="E274" s="9">
        <v>73635</v>
      </c>
      <c r="F274" s="9">
        <v>368175</v>
      </c>
      <c r="G274" s="9">
        <f t="shared" si="21"/>
        <v>11631071535993</v>
      </c>
      <c r="H274" s="9">
        <f t="shared" si="22"/>
        <v>116310715359930</v>
      </c>
      <c r="I274" s="9">
        <f t="shared" si="23"/>
        <v>16463828745</v>
      </c>
      <c r="J274" s="9">
        <f t="shared" si="24"/>
        <v>82319143725</v>
      </c>
      <c r="K274" s="22">
        <f t="shared" si="25"/>
        <v>23262143071986</v>
      </c>
    </row>
    <row r="275" spans="2:11" x14ac:dyDescent="0.3">
      <c r="B275" s="9">
        <v>274</v>
      </c>
      <c r="C275" s="9">
        <v>54101153</v>
      </c>
      <c r="D275" s="9">
        <v>541011530</v>
      </c>
      <c r="E275" s="9">
        <v>74181</v>
      </c>
      <c r="F275" s="9">
        <v>370905</v>
      </c>
      <c r="G275" s="9">
        <f t="shared" si="21"/>
        <v>12185094487884</v>
      </c>
      <c r="H275" s="9">
        <f t="shared" si="22"/>
        <v>121850944878840</v>
      </c>
      <c r="I275" s="9">
        <f t="shared" si="23"/>
        <v>16707638268</v>
      </c>
      <c r="J275" s="9">
        <f t="shared" si="24"/>
        <v>83538191340</v>
      </c>
      <c r="K275" s="22">
        <f t="shared" si="25"/>
        <v>24370188975768</v>
      </c>
    </row>
    <row r="276" spans="2:11" x14ac:dyDescent="0.3">
      <c r="B276" s="9">
        <v>275</v>
      </c>
      <c r="C276" s="9">
        <v>56265200</v>
      </c>
      <c r="D276" s="9">
        <v>562652000</v>
      </c>
      <c r="E276" s="9">
        <v>74728</v>
      </c>
      <c r="F276" s="9">
        <v>373640</v>
      </c>
      <c r="G276" s="9">
        <f t="shared" si="21"/>
        <v>12765167250000</v>
      </c>
      <c r="H276" s="9">
        <f t="shared" si="22"/>
        <v>127651672500000</v>
      </c>
      <c r="I276" s="9">
        <f t="shared" si="23"/>
        <v>16953915000</v>
      </c>
      <c r="J276" s="9">
        <f t="shared" si="24"/>
        <v>84769575000</v>
      </c>
      <c r="K276" s="22">
        <f t="shared" si="25"/>
        <v>25530334500000</v>
      </c>
    </row>
    <row r="277" spans="2:11" x14ac:dyDescent="0.3">
      <c r="B277" s="9">
        <v>276</v>
      </c>
      <c r="C277" s="9">
        <v>58515808</v>
      </c>
      <c r="D277" s="9">
        <v>585158080</v>
      </c>
      <c r="E277" s="9">
        <v>75277</v>
      </c>
      <c r="F277" s="9">
        <v>376385</v>
      </c>
      <c r="G277" s="9">
        <f t="shared" si="21"/>
        <v>13372500570624</v>
      </c>
      <c r="H277" s="9">
        <f t="shared" si="22"/>
        <v>133725005706240</v>
      </c>
      <c r="I277" s="9">
        <f t="shared" si="23"/>
        <v>17202902256</v>
      </c>
      <c r="J277" s="9">
        <f t="shared" si="24"/>
        <v>86014511280</v>
      </c>
      <c r="K277" s="22">
        <f t="shared" si="25"/>
        <v>26745001141248</v>
      </c>
    </row>
    <row r="278" spans="2:11" x14ac:dyDescent="0.3">
      <c r="B278" s="9">
        <v>277</v>
      </c>
      <c r="C278" s="9">
        <v>60856441</v>
      </c>
      <c r="D278" s="9">
        <v>608564410</v>
      </c>
      <c r="E278" s="9">
        <v>75828</v>
      </c>
      <c r="F278" s="9">
        <v>379140</v>
      </c>
      <c r="G278" s="9">
        <f t="shared" si="21"/>
        <v>14008361584467</v>
      </c>
      <c r="H278" s="9">
        <f t="shared" si="22"/>
        <v>140083615844670</v>
      </c>
      <c r="I278" s="9">
        <f t="shared" si="23"/>
        <v>17454619836</v>
      </c>
      <c r="J278" s="9">
        <f t="shared" si="24"/>
        <v>87273099180</v>
      </c>
      <c r="K278" s="22">
        <f t="shared" si="25"/>
        <v>28016723168934</v>
      </c>
    </row>
    <row r="279" spans="2:11" x14ac:dyDescent="0.3">
      <c r="B279" s="9">
        <v>278</v>
      </c>
      <c r="C279" s="9">
        <v>63290699</v>
      </c>
      <c r="D279" s="9">
        <v>632906990</v>
      </c>
      <c r="E279" s="9">
        <v>76381</v>
      </c>
      <c r="F279" s="9">
        <v>381905</v>
      </c>
      <c r="G279" s="9">
        <f t="shared" si="21"/>
        <v>14674075144548</v>
      </c>
      <c r="H279" s="9">
        <f t="shared" si="22"/>
        <v>146740751445480</v>
      </c>
      <c r="I279" s="9">
        <f t="shared" si="23"/>
        <v>17709087612</v>
      </c>
      <c r="J279" s="9">
        <f t="shared" si="24"/>
        <v>88545438060</v>
      </c>
      <c r="K279" s="22">
        <f t="shared" si="25"/>
        <v>29348150289096</v>
      </c>
    </row>
    <row r="280" spans="2:11" x14ac:dyDescent="0.3">
      <c r="B280" s="9">
        <v>279</v>
      </c>
      <c r="C280" s="9">
        <v>65822327</v>
      </c>
      <c r="D280" s="9">
        <v>658223270</v>
      </c>
      <c r="E280" s="9">
        <v>76937</v>
      </c>
      <c r="F280" s="9">
        <v>384685</v>
      </c>
      <c r="G280" s="9">
        <f t="shared" si="21"/>
        <v>15371027268021</v>
      </c>
      <c r="H280" s="9">
        <f t="shared" si="22"/>
        <v>153710272680210</v>
      </c>
      <c r="I280" s="9">
        <f t="shared" si="23"/>
        <v>17966559051</v>
      </c>
      <c r="J280" s="9">
        <f t="shared" si="24"/>
        <v>89832795255</v>
      </c>
      <c r="K280" s="22">
        <f t="shared" si="25"/>
        <v>30742054536042</v>
      </c>
    </row>
    <row r="281" spans="2:11" x14ac:dyDescent="0.3">
      <c r="B281" s="9">
        <v>280</v>
      </c>
      <c r="C281" s="9">
        <v>68455221</v>
      </c>
      <c r="D281" s="9">
        <v>684552210</v>
      </c>
      <c r="E281" s="9">
        <v>77494</v>
      </c>
      <c r="F281" s="9">
        <v>387470</v>
      </c>
      <c r="G281" s="9">
        <f t="shared" si="21"/>
        <v>16100667979200</v>
      </c>
      <c r="H281" s="9">
        <f t="shared" si="22"/>
        <v>161006679792000</v>
      </c>
      <c r="I281" s="9">
        <f t="shared" si="23"/>
        <v>18226588800</v>
      </c>
      <c r="J281" s="9">
        <f t="shared" si="24"/>
        <v>91132944000</v>
      </c>
      <c r="K281" s="22">
        <f t="shared" si="25"/>
        <v>32201335958400</v>
      </c>
    </row>
    <row r="282" spans="2:11" x14ac:dyDescent="0.3">
      <c r="B282" s="9">
        <v>281</v>
      </c>
      <c r="C282" s="9">
        <v>71193430</v>
      </c>
      <c r="D282" s="9">
        <v>711934300</v>
      </c>
      <c r="E282" s="9">
        <v>78053</v>
      </c>
      <c r="F282" s="9">
        <v>390265</v>
      </c>
      <c r="G282" s="9">
        <f t="shared" si="21"/>
        <v>16864513278690</v>
      </c>
      <c r="H282" s="9">
        <f t="shared" si="22"/>
        <v>168645132786900</v>
      </c>
      <c r="I282" s="9">
        <f t="shared" si="23"/>
        <v>18489428799</v>
      </c>
      <c r="J282" s="9">
        <f t="shared" si="24"/>
        <v>92447143995</v>
      </c>
      <c r="K282" s="22">
        <f t="shared" si="25"/>
        <v>33729026557380</v>
      </c>
    </row>
    <row r="283" spans="2:11" x14ac:dyDescent="0.3">
      <c r="B283" s="9">
        <v>282</v>
      </c>
      <c r="C283" s="9">
        <v>74041168</v>
      </c>
      <c r="D283" s="9">
        <v>740411680</v>
      </c>
      <c r="E283" s="9">
        <v>78614</v>
      </c>
      <c r="F283" s="9">
        <v>393070</v>
      </c>
      <c r="G283" s="9">
        <f t="shared" si="21"/>
        <v>17664149532096</v>
      </c>
      <c r="H283" s="9">
        <f t="shared" si="22"/>
        <v>176641495320960</v>
      </c>
      <c r="I283" s="9">
        <f t="shared" si="23"/>
        <v>18755099208</v>
      </c>
      <c r="J283" s="9">
        <f t="shared" si="24"/>
        <v>93775496040</v>
      </c>
      <c r="K283" s="22">
        <f t="shared" si="25"/>
        <v>35328299064192</v>
      </c>
    </row>
    <row r="284" spans="2:11" x14ac:dyDescent="0.3">
      <c r="B284" s="9">
        <v>283</v>
      </c>
      <c r="C284" s="9">
        <v>77002815</v>
      </c>
      <c r="D284" s="9">
        <v>770028150</v>
      </c>
      <c r="E284" s="9">
        <v>79178</v>
      </c>
      <c r="F284" s="9">
        <v>395890</v>
      </c>
      <c r="G284" s="9">
        <f t="shared" si="21"/>
        <v>18501235351605</v>
      </c>
      <c r="H284" s="9">
        <f t="shared" si="22"/>
        <v>185012353516050</v>
      </c>
      <c r="I284" s="9">
        <f t="shared" si="23"/>
        <v>19023860526</v>
      </c>
      <c r="J284" s="9">
        <f t="shared" si="24"/>
        <v>95119302630</v>
      </c>
      <c r="K284" s="22">
        <f t="shared" si="25"/>
        <v>37002470703210</v>
      </c>
    </row>
    <row r="285" spans="2:11" x14ac:dyDescent="0.3">
      <c r="B285" s="9">
        <v>284</v>
      </c>
      <c r="C285" s="9">
        <v>80082928</v>
      </c>
      <c r="D285" s="9">
        <v>800829280</v>
      </c>
      <c r="E285" s="9">
        <v>79743</v>
      </c>
      <c r="F285" s="9">
        <v>398715</v>
      </c>
      <c r="G285" s="9">
        <f t="shared" si="21"/>
        <v>19377505922304</v>
      </c>
      <c r="H285" s="9">
        <f t="shared" si="22"/>
        <v>193775059223040</v>
      </c>
      <c r="I285" s="9">
        <f t="shared" si="23"/>
        <v>19295254224</v>
      </c>
      <c r="J285" s="9">
        <f t="shared" si="24"/>
        <v>96476271120</v>
      </c>
      <c r="K285" s="22">
        <f t="shared" si="25"/>
        <v>38755011844608</v>
      </c>
    </row>
    <row r="286" spans="2:11" x14ac:dyDescent="0.3">
      <c r="B286" s="9">
        <v>285</v>
      </c>
      <c r="C286" s="9">
        <v>83286246</v>
      </c>
      <c r="D286" s="9">
        <v>832862460</v>
      </c>
      <c r="E286" s="9">
        <v>80311</v>
      </c>
      <c r="F286" s="9">
        <v>401555</v>
      </c>
      <c r="G286" s="9">
        <f t="shared" si="21"/>
        <v>20294775994050</v>
      </c>
      <c r="H286" s="9">
        <f t="shared" si="22"/>
        <v>202947759940500</v>
      </c>
      <c r="I286" s="9">
        <f t="shared" si="23"/>
        <v>19569782925</v>
      </c>
      <c r="J286" s="9">
        <f t="shared" si="24"/>
        <v>97848914625</v>
      </c>
      <c r="K286" s="22">
        <f t="shared" si="25"/>
        <v>40589551988100</v>
      </c>
    </row>
    <row r="287" spans="2:11" x14ac:dyDescent="0.3">
      <c r="B287" s="9">
        <v>286</v>
      </c>
      <c r="C287" s="9">
        <v>86617696</v>
      </c>
      <c r="D287" s="9">
        <v>866176960</v>
      </c>
      <c r="E287" s="9">
        <v>80880</v>
      </c>
      <c r="F287" s="9">
        <v>404400</v>
      </c>
      <c r="G287" s="9">
        <f t="shared" si="21"/>
        <v>21254943186048</v>
      </c>
      <c r="H287" s="9">
        <f t="shared" si="22"/>
        <v>212549431860480</v>
      </c>
      <c r="I287" s="9">
        <f t="shared" si="23"/>
        <v>19846981440</v>
      </c>
      <c r="J287" s="9">
        <f t="shared" si="24"/>
        <v>99234907200</v>
      </c>
      <c r="K287" s="22">
        <f t="shared" si="25"/>
        <v>42509886372096</v>
      </c>
    </row>
    <row r="288" spans="2:11" x14ac:dyDescent="0.3">
      <c r="B288" s="9">
        <v>287</v>
      </c>
      <c r="C288" s="9">
        <v>90082404</v>
      </c>
      <c r="D288" s="9">
        <v>900824040</v>
      </c>
      <c r="E288" s="9">
        <v>81451</v>
      </c>
      <c r="F288" s="9">
        <v>407255</v>
      </c>
      <c r="G288" s="9">
        <f t="shared" si="21"/>
        <v>22259992605228</v>
      </c>
      <c r="H288" s="9">
        <f t="shared" si="22"/>
        <v>222599926052280</v>
      </c>
      <c r="I288" s="9">
        <f t="shared" si="23"/>
        <v>20127112257</v>
      </c>
      <c r="J288" s="9">
        <f t="shared" si="24"/>
        <v>100635561285</v>
      </c>
      <c r="K288" s="22">
        <f t="shared" si="25"/>
        <v>44519985210456</v>
      </c>
    </row>
    <row r="289" spans="2:11" x14ac:dyDescent="0.3">
      <c r="B289" s="9">
        <v>288</v>
      </c>
      <c r="C289" s="9">
        <v>93685701</v>
      </c>
      <c r="D289" s="9">
        <v>936857010</v>
      </c>
      <c r="E289" s="9">
        <v>82025</v>
      </c>
      <c r="F289" s="9">
        <v>410125</v>
      </c>
      <c r="G289" s="9">
        <f t="shared" si="21"/>
        <v>23312000351232</v>
      </c>
      <c r="H289" s="9">
        <f t="shared" si="22"/>
        <v>233120003512320</v>
      </c>
      <c r="I289" s="9">
        <f t="shared" si="23"/>
        <v>20410444800</v>
      </c>
      <c r="J289" s="9">
        <f t="shared" si="24"/>
        <v>102052224000</v>
      </c>
      <c r="K289" s="22">
        <f t="shared" si="25"/>
        <v>46624000702464</v>
      </c>
    </row>
    <row r="290" spans="2:11" x14ac:dyDescent="0.3">
      <c r="B290" s="9">
        <v>289</v>
      </c>
      <c r="C290" s="9">
        <v>97433130</v>
      </c>
      <c r="D290" s="9">
        <v>974331300</v>
      </c>
      <c r="E290" s="9">
        <v>82600</v>
      </c>
      <c r="F290" s="9">
        <v>413000</v>
      </c>
      <c r="G290" s="9">
        <f t="shared" si="21"/>
        <v>24413137352190</v>
      </c>
      <c r="H290" s="9">
        <f t="shared" si="22"/>
        <v>244131373521900</v>
      </c>
      <c r="I290" s="9">
        <f t="shared" si="23"/>
        <v>20696503800</v>
      </c>
      <c r="J290" s="9">
        <f t="shared" si="24"/>
        <v>103482519000</v>
      </c>
      <c r="K290" s="22">
        <f t="shared" si="25"/>
        <v>48826274704380</v>
      </c>
    </row>
    <row r="291" spans="2:11" x14ac:dyDescent="0.3">
      <c r="B291" s="9">
        <v>290</v>
      </c>
      <c r="C291" s="9">
        <v>101330456</v>
      </c>
      <c r="D291" s="9">
        <v>1013304560</v>
      </c>
      <c r="E291" s="9">
        <v>83178</v>
      </c>
      <c r="F291" s="9">
        <v>415890</v>
      </c>
      <c r="G291" s="9">
        <f t="shared" si="21"/>
        <v>25565674048800</v>
      </c>
      <c r="H291" s="9">
        <f t="shared" si="22"/>
        <v>255656740488000</v>
      </c>
      <c r="I291" s="9">
        <f t="shared" si="23"/>
        <v>20985809400</v>
      </c>
      <c r="J291" s="9">
        <f t="shared" si="24"/>
        <v>104929047000</v>
      </c>
      <c r="K291" s="22">
        <f t="shared" si="25"/>
        <v>51131348097600</v>
      </c>
    </row>
    <row r="292" spans="2:11" x14ac:dyDescent="0.3">
      <c r="B292" s="9">
        <v>291</v>
      </c>
      <c r="C292" s="9">
        <v>105383675</v>
      </c>
      <c r="D292" s="9">
        <v>1053836750</v>
      </c>
      <c r="E292" s="9">
        <v>83758</v>
      </c>
      <c r="F292" s="9">
        <v>418790</v>
      </c>
      <c r="G292" s="9">
        <f t="shared" si="21"/>
        <v>26771984948025</v>
      </c>
      <c r="H292" s="9">
        <f t="shared" si="22"/>
        <v>267719849480250</v>
      </c>
      <c r="I292" s="9">
        <f t="shared" si="23"/>
        <v>21278133594</v>
      </c>
      <c r="J292" s="9">
        <f t="shared" si="24"/>
        <v>106390667970</v>
      </c>
      <c r="K292" s="22">
        <f t="shared" si="25"/>
        <v>53543969896050</v>
      </c>
    </row>
    <row r="293" spans="2:11" x14ac:dyDescent="0.3">
      <c r="B293" s="9">
        <v>292</v>
      </c>
      <c r="C293" s="9">
        <v>109599022</v>
      </c>
      <c r="D293" s="9">
        <v>1095990220</v>
      </c>
      <c r="E293" s="9">
        <v>84339</v>
      </c>
      <c r="F293" s="9">
        <v>421695</v>
      </c>
      <c r="G293" s="9">
        <f t="shared" si="21"/>
        <v>28034553035424</v>
      </c>
      <c r="H293" s="9">
        <f t="shared" si="22"/>
        <v>280345530354240</v>
      </c>
      <c r="I293" s="9">
        <f t="shared" si="23"/>
        <v>21573241488</v>
      </c>
      <c r="J293" s="9">
        <f t="shared" si="24"/>
        <v>107866207440</v>
      </c>
      <c r="K293" s="22">
        <f t="shared" si="25"/>
        <v>56069106070848</v>
      </c>
    </row>
    <row r="294" spans="2:11" x14ac:dyDescent="0.3">
      <c r="B294" s="9">
        <v>293</v>
      </c>
      <c r="C294" s="9">
        <v>113982983</v>
      </c>
      <c r="D294" s="9">
        <v>1139829830</v>
      </c>
      <c r="E294" s="9">
        <v>84923</v>
      </c>
      <c r="F294" s="9">
        <v>424615</v>
      </c>
      <c r="G294" s="9">
        <f t="shared" si="21"/>
        <v>29355975322701</v>
      </c>
      <c r="H294" s="9">
        <f t="shared" si="22"/>
        <v>293559753227010</v>
      </c>
      <c r="I294" s="9">
        <f t="shared" si="23"/>
        <v>21871663881</v>
      </c>
      <c r="J294" s="9">
        <f t="shared" si="24"/>
        <v>109358319405</v>
      </c>
      <c r="K294" s="22">
        <f t="shared" si="25"/>
        <v>58711950645402</v>
      </c>
    </row>
    <row r="295" spans="2:11" x14ac:dyDescent="0.3">
      <c r="B295" s="9">
        <v>294</v>
      </c>
      <c r="C295" s="9">
        <v>118542303</v>
      </c>
      <c r="D295" s="9">
        <v>1185423030</v>
      </c>
      <c r="E295" s="9">
        <v>85508</v>
      </c>
      <c r="F295" s="9">
        <v>427540</v>
      </c>
      <c r="G295" s="9">
        <f t="shared" si="21"/>
        <v>30738967506324</v>
      </c>
      <c r="H295" s="9">
        <f t="shared" si="22"/>
        <v>307389675063240</v>
      </c>
      <c r="I295" s="9">
        <f t="shared" si="23"/>
        <v>22172908464</v>
      </c>
      <c r="J295" s="9">
        <f t="shared" si="24"/>
        <v>110864542320</v>
      </c>
      <c r="K295" s="22">
        <f t="shared" si="25"/>
        <v>61477935012648</v>
      </c>
    </row>
    <row r="296" spans="2:11" x14ac:dyDescent="0.3">
      <c r="B296" s="9">
        <v>295</v>
      </c>
      <c r="C296" s="9">
        <v>123283996</v>
      </c>
      <c r="D296" s="9">
        <v>1232839960</v>
      </c>
      <c r="E296" s="9">
        <v>86096</v>
      </c>
      <c r="F296" s="9">
        <v>430480</v>
      </c>
      <c r="G296" s="9">
        <f t="shared" si="21"/>
        <v>32186369255700</v>
      </c>
      <c r="H296" s="9">
        <f t="shared" si="22"/>
        <v>321863692557000</v>
      </c>
      <c r="I296" s="9">
        <f t="shared" si="23"/>
        <v>22477513200</v>
      </c>
      <c r="J296" s="9">
        <f t="shared" si="24"/>
        <v>112387566000</v>
      </c>
      <c r="K296" s="22">
        <f t="shared" si="25"/>
        <v>64372738511400</v>
      </c>
    </row>
    <row r="297" spans="2:11" x14ac:dyDescent="0.3">
      <c r="B297" s="9">
        <v>296</v>
      </c>
      <c r="C297" s="9">
        <v>128215356</v>
      </c>
      <c r="D297" s="9">
        <v>1282153560</v>
      </c>
      <c r="E297" s="9">
        <v>86686</v>
      </c>
      <c r="F297" s="9">
        <v>433430</v>
      </c>
      <c r="G297" s="9">
        <f t="shared" si="21"/>
        <v>33701149893888</v>
      </c>
      <c r="H297" s="9">
        <f t="shared" si="22"/>
        <v>337011498938880</v>
      </c>
      <c r="I297" s="9">
        <f t="shared" si="23"/>
        <v>22785241728</v>
      </c>
      <c r="J297" s="9">
        <f t="shared" si="24"/>
        <v>113926208640</v>
      </c>
      <c r="K297" s="22">
        <f t="shared" si="25"/>
        <v>67402299787776</v>
      </c>
    </row>
    <row r="298" spans="2:11" x14ac:dyDescent="0.3">
      <c r="B298" s="9">
        <v>297</v>
      </c>
      <c r="C298" s="9">
        <v>133343971</v>
      </c>
      <c r="D298" s="9">
        <v>1333439710</v>
      </c>
      <c r="E298" s="9">
        <v>87278</v>
      </c>
      <c r="F298" s="9">
        <v>436390</v>
      </c>
      <c r="G298" s="9">
        <f t="shared" si="21"/>
        <v>35286415013817</v>
      </c>
      <c r="H298" s="9">
        <f t="shared" si="22"/>
        <v>352864150138170</v>
      </c>
      <c r="I298" s="9">
        <f t="shared" si="23"/>
        <v>23096115306</v>
      </c>
      <c r="J298" s="9">
        <f t="shared" si="24"/>
        <v>115480576530</v>
      </c>
      <c r="K298" s="22">
        <f t="shared" si="25"/>
        <v>70572830027634</v>
      </c>
    </row>
    <row r="299" spans="2:11" x14ac:dyDescent="0.3">
      <c r="B299" s="9">
        <v>298</v>
      </c>
      <c r="C299" s="9">
        <v>138677730</v>
      </c>
      <c r="D299" s="9">
        <v>1386777300</v>
      </c>
      <c r="E299" s="9">
        <v>87871</v>
      </c>
      <c r="F299" s="9">
        <v>439355</v>
      </c>
      <c r="G299" s="9">
        <f t="shared" si="21"/>
        <v>36945411404760</v>
      </c>
      <c r="H299" s="9">
        <f t="shared" si="22"/>
        <v>369454114047600</v>
      </c>
      <c r="I299" s="9">
        <f t="shared" si="23"/>
        <v>23409888852</v>
      </c>
      <c r="J299" s="9">
        <f t="shared" si="24"/>
        <v>117049444260</v>
      </c>
      <c r="K299" s="22">
        <f t="shared" si="25"/>
        <v>73890822809520</v>
      </c>
    </row>
    <row r="300" spans="2:11" x14ac:dyDescent="0.3">
      <c r="B300" s="9">
        <v>299</v>
      </c>
      <c r="C300" s="9">
        <v>144224840</v>
      </c>
      <c r="D300" s="9">
        <v>1442248400</v>
      </c>
      <c r="E300" s="9">
        <v>88467</v>
      </c>
      <c r="F300" s="9">
        <v>442335</v>
      </c>
      <c r="G300" s="9">
        <f t="shared" si="21"/>
        <v>38681534762520</v>
      </c>
      <c r="H300" s="9">
        <f t="shared" si="22"/>
        <v>386815347625200</v>
      </c>
      <c r="I300" s="9">
        <f t="shared" si="23"/>
        <v>23727114801</v>
      </c>
      <c r="J300" s="9">
        <f t="shared" si="24"/>
        <v>118635574005</v>
      </c>
      <c r="K300" s="22">
        <f t="shared" si="25"/>
        <v>77363069525040</v>
      </c>
    </row>
    <row r="301" spans="2:11" x14ac:dyDescent="0.3">
      <c r="B301" s="9">
        <v>300</v>
      </c>
      <c r="C301" s="9">
        <v>149993834</v>
      </c>
      <c r="D301" s="9">
        <v>1499938340</v>
      </c>
      <c r="E301" s="9">
        <v>89065</v>
      </c>
      <c r="F301" s="9">
        <v>445325</v>
      </c>
      <c r="G301" s="9">
        <f t="shared" si="21"/>
        <v>40498335180000</v>
      </c>
      <c r="H301" s="9">
        <f t="shared" si="22"/>
        <v>404983351800000</v>
      </c>
      <c r="I301" s="9">
        <f t="shared" si="23"/>
        <v>24047550000</v>
      </c>
      <c r="J301" s="9">
        <f t="shared" si="24"/>
        <v>120237750000</v>
      </c>
      <c r="K301" s="22">
        <f t="shared" si="25"/>
        <v>80996670360000</v>
      </c>
    </row>
    <row r="302" spans="2:11" x14ac:dyDescent="0.3">
      <c r="B302" s="9">
        <v>301</v>
      </c>
      <c r="C302" s="9">
        <v>155993588</v>
      </c>
      <c r="D302" s="9">
        <v>1559935880</v>
      </c>
      <c r="E302" s="9">
        <v>89665</v>
      </c>
      <c r="F302" s="9">
        <v>448325</v>
      </c>
      <c r="G302" s="9">
        <f t="shared" si="21"/>
        <v>42399525199164</v>
      </c>
      <c r="H302" s="9">
        <f t="shared" si="22"/>
        <v>423995251991640</v>
      </c>
      <c r="I302" s="9">
        <f t="shared" si="23"/>
        <v>24371215995</v>
      </c>
      <c r="J302" s="9">
        <f t="shared" si="24"/>
        <v>121856079975</v>
      </c>
      <c r="K302" s="22">
        <f t="shared" si="25"/>
        <v>84799050398328</v>
      </c>
    </row>
    <row r="303" spans="2:11" x14ac:dyDescent="0.3">
      <c r="H303" s="9"/>
    </row>
    <row r="304" spans="2:11" x14ac:dyDescent="0.3">
      <c r="H304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4"/>
  <sheetViews>
    <sheetView workbookViewId="0">
      <pane ySplit="1" topLeftCell="A2" activePane="bottomLeft" state="frozen"/>
      <selection pane="bottomLeft" activeCell="H3" sqref="H3"/>
    </sheetView>
  </sheetViews>
  <sheetFormatPr defaultRowHeight="16.5" x14ac:dyDescent="0.3"/>
  <cols>
    <col min="2" max="2" width="6.75" bestFit="1" customWidth="1"/>
    <col min="3" max="3" width="12.75" bestFit="1" customWidth="1"/>
    <col min="4" max="4" width="14.375" bestFit="1" customWidth="1"/>
    <col min="5" max="5" width="8.25" bestFit="1" customWidth="1"/>
    <col min="6" max="6" width="9.25" bestFit="1" customWidth="1"/>
    <col min="7" max="7" width="18.125" bestFit="1" customWidth="1"/>
    <col min="8" max="8" width="20.25" bestFit="1" customWidth="1"/>
    <col min="9" max="10" width="14.5" bestFit="1" customWidth="1"/>
  </cols>
  <sheetData>
    <row r="1" spans="2:10" x14ac:dyDescent="0.3">
      <c r="B1" s="7" t="s">
        <v>138</v>
      </c>
      <c r="C1" s="7" t="s">
        <v>139</v>
      </c>
      <c r="D1" s="7" t="s">
        <v>139</v>
      </c>
      <c r="E1" s="7" t="s">
        <v>140</v>
      </c>
      <c r="F1" s="7" t="s">
        <v>140</v>
      </c>
      <c r="G1" s="8" t="s">
        <v>141</v>
      </c>
      <c r="H1" s="8" t="s">
        <v>142</v>
      </c>
      <c r="I1" s="8" t="s">
        <v>143</v>
      </c>
      <c r="J1" s="8" t="s">
        <v>144</v>
      </c>
    </row>
    <row r="2" spans="2:10" x14ac:dyDescent="0.3">
      <c r="B2" s="9">
        <v>1</v>
      </c>
      <c r="C2" s="9">
        <v>20</v>
      </c>
      <c r="D2" s="9">
        <v>200</v>
      </c>
      <c r="E2" s="9">
        <v>1</v>
      </c>
      <c r="F2" s="9">
        <v>5</v>
      </c>
      <c r="G2" s="9">
        <v>20</v>
      </c>
      <c r="H2" s="9">
        <v>200</v>
      </c>
      <c r="I2" s="9">
        <v>1</v>
      </c>
      <c r="J2" s="9">
        <v>5</v>
      </c>
    </row>
    <row r="3" spans="2:10" x14ac:dyDescent="0.3">
      <c r="B3" s="9">
        <v>2</v>
      </c>
      <c r="C3" s="9">
        <v>28</v>
      </c>
      <c r="D3" s="9">
        <v>280</v>
      </c>
      <c r="E3" s="9">
        <v>2</v>
      </c>
      <c r="F3" s="9">
        <v>7</v>
      </c>
      <c r="G3" s="9">
        <f>C3*$B3*($B3*1.02)</f>
        <v>114.24000000000001</v>
      </c>
      <c r="H3" s="9">
        <f t="shared" ref="H3:I3" si="0">D3*$B3*($B3*1.02)</f>
        <v>1142.4000000000001</v>
      </c>
      <c r="I3" s="9">
        <f t="shared" si="0"/>
        <v>8.16</v>
      </c>
      <c r="J3" s="9">
        <f>F3*$B3*($B3*1.01)</f>
        <v>28.28</v>
      </c>
    </row>
    <row r="4" spans="2:10" x14ac:dyDescent="0.3">
      <c r="B4" s="9">
        <v>3</v>
      </c>
      <c r="C4" s="9">
        <v>42</v>
      </c>
      <c r="D4" s="9">
        <v>420</v>
      </c>
      <c r="E4" s="9">
        <v>2</v>
      </c>
      <c r="F4" s="9">
        <v>10</v>
      </c>
      <c r="G4" s="9">
        <f t="shared" ref="G4:G67" si="1">C4*$B4*($B4*1.02)</f>
        <v>385.56</v>
      </c>
      <c r="H4" s="9">
        <f t="shared" ref="H4:H67" si="2">D4*$B4*($B4*1.02)</f>
        <v>3855.6</v>
      </c>
      <c r="I4" s="9">
        <f t="shared" ref="I4:I67" si="3">E4*$B4*($B4*1.02)</f>
        <v>18.36</v>
      </c>
      <c r="J4" s="9">
        <f t="shared" ref="J4:J67" si="4">F4*$B4*($B4*1.01)</f>
        <v>90.9</v>
      </c>
    </row>
    <row r="5" spans="2:10" x14ac:dyDescent="0.3">
      <c r="B5" s="9">
        <v>4</v>
      </c>
      <c r="C5" s="9">
        <v>67</v>
      </c>
      <c r="D5" s="9">
        <v>670</v>
      </c>
      <c r="E5" s="9">
        <v>3</v>
      </c>
      <c r="F5" s="9">
        <v>15</v>
      </c>
      <c r="G5" s="9">
        <f t="shared" si="1"/>
        <v>1093.44</v>
      </c>
      <c r="H5" s="9">
        <f t="shared" si="2"/>
        <v>10934.4</v>
      </c>
      <c r="I5" s="9">
        <f t="shared" si="3"/>
        <v>48.96</v>
      </c>
      <c r="J5" s="9">
        <f t="shared" si="4"/>
        <v>242.4</v>
      </c>
    </row>
    <row r="6" spans="2:10" x14ac:dyDescent="0.3">
      <c r="B6" s="9">
        <v>5</v>
      </c>
      <c r="C6" s="9">
        <v>93</v>
      </c>
      <c r="D6" s="9">
        <v>930</v>
      </c>
      <c r="E6" s="9">
        <v>6</v>
      </c>
      <c r="F6" s="9">
        <v>30</v>
      </c>
      <c r="G6" s="9">
        <f t="shared" si="1"/>
        <v>2371.5</v>
      </c>
      <c r="H6" s="9">
        <f t="shared" si="2"/>
        <v>23715</v>
      </c>
      <c r="I6" s="9">
        <f t="shared" si="3"/>
        <v>153</v>
      </c>
      <c r="J6" s="9">
        <f t="shared" si="4"/>
        <v>757.5</v>
      </c>
    </row>
    <row r="7" spans="2:10" x14ac:dyDescent="0.3">
      <c r="B7" s="9">
        <v>6</v>
      </c>
      <c r="C7" s="9">
        <v>122</v>
      </c>
      <c r="D7" s="9">
        <v>1220</v>
      </c>
      <c r="E7" s="9">
        <v>9</v>
      </c>
      <c r="F7" s="9">
        <v>45</v>
      </c>
      <c r="G7" s="9">
        <f t="shared" si="1"/>
        <v>4479.84</v>
      </c>
      <c r="H7" s="9">
        <f t="shared" si="2"/>
        <v>44798.400000000001</v>
      </c>
      <c r="I7" s="9">
        <f t="shared" si="3"/>
        <v>330.48</v>
      </c>
      <c r="J7" s="9">
        <f t="shared" si="4"/>
        <v>1636.2</v>
      </c>
    </row>
    <row r="8" spans="2:10" x14ac:dyDescent="0.3">
      <c r="B8" s="9">
        <v>7</v>
      </c>
      <c r="C8" s="9">
        <v>154</v>
      </c>
      <c r="D8" s="9">
        <v>1540</v>
      </c>
      <c r="E8" s="9">
        <v>15</v>
      </c>
      <c r="F8" s="9">
        <v>75</v>
      </c>
      <c r="G8" s="9">
        <f t="shared" si="1"/>
        <v>7696.920000000001</v>
      </c>
      <c r="H8" s="9">
        <f t="shared" si="2"/>
        <v>76969.200000000012</v>
      </c>
      <c r="I8" s="9">
        <f t="shared" si="3"/>
        <v>749.7</v>
      </c>
      <c r="J8" s="9">
        <f t="shared" si="4"/>
        <v>3711.75</v>
      </c>
    </row>
    <row r="9" spans="2:10" x14ac:dyDescent="0.3">
      <c r="B9" s="9">
        <v>8</v>
      </c>
      <c r="C9" s="9">
        <v>189</v>
      </c>
      <c r="D9" s="9">
        <v>1890</v>
      </c>
      <c r="E9" s="9">
        <v>21</v>
      </c>
      <c r="F9" s="9">
        <v>105</v>
      </c>
      <c r="G9" s="9">
        <f t="shared" si="1"/>
        <v>12337.92</v>
      </c>
      <c r="H9" s="9">
        <f t="shared" si="2"/>
        <v>123379.2</v>
      </c>
      <c r="I9" s="9">
        <f t="shared" si="3"/>
        <v>1370.88</v>
      </c>
      <c r="J9" s="9">
        <f t="shared" si="4"/>
        <v>6787.2</v>
      </c>
    </row>
    <row r="10" spans="2:10" x14ac:dyDescent="0.3">
      <c r="B10" s="9">
        <v>9</v>
      </c>
      <c r="C10" s="9">
        <v>226</v>
      </c>
      <c r="D10" s="9">
        <v>2260</v>
      </c>
      <c r="E10" s="9">
        <v>30</v>
      </c>
      <c r="F10" s="9">
        <v>150</v>
      </c>
      <c r="G10" s="9">
        <f t="shared" si="1"/>
        <v>18672.12</v>
      </c>
      <c r="H10" s="9">
        <f t="shared" si="2"/>
        <v>186721.19999999998</v>
      </c>
      <c r="I10" s="9">
        <f t="shared" si="3"/>
        <v>2478.6</v>
      </c>
      <c r="J10" s="9">
        <f t="shared" si="4"/>
        <v>12271.5</v>
      </c>
    </row>
    <row r="11" spans="2:10" x14ac:dyDescent="0.3">
      <c r="B11" s="9">
        <v>10</v>
      </c>
      <c r="C11" s="9">
        <v>268</v>
      </c>
      <c r="D11" s="9">
        <v>2680</v>
      </c>
      <c r="E11" s="9">
        <v>42</v>
      </c>
      <c r="F11" s="9">
        <v>210</v>
      </c>
      <c r="G11" s="9">
        <f t="shared" si="1"/>
        <v>27335.999999999996</v>
      </c>
      <c r="H11" s="9">
        <f t="shared" si="2"/>
        <v>273360</v>
      </c>
      <c r="I11" s="9">
        <f t="shared" si="3"/>
        <v>4284</v>
      </c>
      <c r="J11" s="9">
        <f t="shared" si="4"/>
        <v>21210</v>
      </c>
    </row>
    <row r="12" spans="2:10" x14ac:dyDescent="0.3">
      <c r="B12" s="9">
        <v>11</v>
      </c>
      <c r="C12" s="9">
        <v>312</v>
      </c>
      <c r="D12" s="9">
        <v>3120</v>
      </c>
      <c r="E12" s="9">
        <v>56</v>
      </c>
      <c r="F12" s="9">
        <v>280</v>
      </c>
      <c r="G12" s="9">
        <f t="shared" si="1"/>
        <v>38507.040000000001</v>
      </c>
      <c r="H12" s="9">
        <f t="shared" si="2"/>
        <v>385070.4</v>
      </c>
      <c r="I12" s="9">
        <f t="shared" si="3"/>
        <v>6911.52</v>
      </c>
      <c r="J12" s="9">
        <f t="shared" si="4"/>
        <v>34218.799999999996</v>
      </c>
    </row>
    <row r="13" spans="2:10" x14ac:dyDescent="0.3">
      <c r="B13" s="9">
        <v>12</v>
      </c>
      <c r="C13" s="9">
        <v>361</v>
      </c>
      <c r="D13" s="9">
        <v>3610</v>
      </c>
      <c r="E13" s="9">
        <v>73</v>
      </c>
      <c r="F13" s="9">
        <v>365</v>
      </c>
      <c r="G13" s="9">
        <f t="shared" si="1"/>
        <v>53023.68</v>
      </c>
      <c r="H13" s="9">
        <f t="shared" si="2"/>
        <v>530236.80000000005</v>
      </c>
      <c r="I13" s="9">
        <f t="shared" si="3"/>
        <v>10722.24</v>
      </c>
      <c r="J13" s="9">
        <f t="shared" si="4"/>
        <v>53085.600000000006</v>
      </c>
    </row>
    <row r="14" spans="2:10" x14ac:dyDescent="0.3">
      <c r="B14" s="9">
        <v>13</v>
      </c>
      <c r="C14" s="9">
        <v>413</v>
      </c>
      <c r="D14" s="9">
        <v>4130</v>
      </c>
      <c r="E14" s="9">
        <v>94</v>
      </c>
      <c r="F14" s="9">
        <v>470</v>
      </c>
      <c r="G14" s="9">
        <f t="shared" si="1"/>
        <v>71192.94</v>
      </c>
      <c r="H14" s="9">
        <f t="shared" si="2"/>
        <v>711929.4</v>
      </c>
      <c r="I14" s="9">
        <f t="shared" si="3"/>
        <v>16203.72</v>
      </c>
      <c r="J14" s="9">
        <f t="shared" si="4"/>
        <v>80224.3</v>
      </c>
    </row>
    <row r="15" spans="2:10" x14ac:dyDescent="0.3">
      <c r="B15" s="9">
        <v>14</v>
      </c>
      <c r="C15" s="9">
        <v>470</v>
      </c>
      <c r="D15" s="9">
        <v>4700</v>
      </c>
      <c r="E15" s="9">
        <v>118</v>
      </c>
      <c r="F15" s="9">
        <v>590</v>
      </c>
      <c r="G15" s="9">
        <f t="shared" si="1"/>
        <v>93962.400000000009</v>
      </c>
      <c r="H15" s="9">
        <f t="shared" si="2"/>
        <v>939624.00000000012</v>
      </c>
      <c r="I15" s="9">
        <f t="shared" si="3"/>
        <v>23590.560000000001</v>
      </c>
      <c r="J15" s="9">
        <f t="shared" si="4"/>
        <v>116796.40000000001</v>
      </c>
    </row>
    <row r="16" spans="2:10" x14ac:dyDescent="0.3">
      <c r="B16" s="9">
        <v>15</v>
      </c>
      <c r="C16" s="9">
        <v>532</v>
      </c>
      <c r="D16" s="9">
        <v>5320</v>
      </c>
      <c r="E16" s="9">
        <v>146</v>
      </c>
      <c r="F16" s="9">
        <v>730</v>
      </c>
      <c r="G16" s="9">
        <f t="shared" si="1"/>
        <v>122094</v>
      </c>
      <c r="H16" s="9">
        <f t="shared" si="2"/>
        <v>1220940</v>
      </c>
      <c r="I16" s="9">
        <f t="shared" si="3"/>
        <v>33507</v>
      </c>
      <c r="J16" s="9">
        <f t="shared" si="4"/>
        <v>165892.5</v>
      </c>
    </row>
    <row r="17" spans="2:10" x14ac:dyDescent="0.3">
      <c r="B17" s="9">
        <v>16</v>
      </c>
      <c r="C17" s="9">
        <v>599</v>
      </c>
      <c r="D17" s="9">
        <v>5990</v>
      </c>
      <c r="E17" s="9">
        <v>178</v>
      </c>
      <c r="F17" s="9">
        <v>890</v>
      </c>
      <c r="G17" s="9">
        <f t="shared" si="1"/>
        <v>156410.88</v>
      </c>
      <c r="H17" s="9">
        <f t="shared" si="2"/>
        <v>1564108.8</v>
      </c>
      <c r="I17" s="9">
        <f t="shared" si="3"/>
        <v>46479.360000000001</v>
      </c>
      <c r="J17" s="9">
        <f t="shared" si="4"/>
        <v>230118.39999999999</v>
      </c>
    </row>
    <row r="18" spans="2:10" x14ac:dyDescent="0.3">
      <c r="B18" s="9">
        <v>17</v>
      </c>
      <c r="C18" s="9">
        <v>671</v>
      </c>
      <c r="D18" s="9">
        <v>6710</v>
      </c>
      <c r="E18" s="9">
        <v>215</v>
      </c>
      <c r="F18" s="9">
        <v>1075</v>
      </c>
      <c r="G18" s="9">
        <f t="shared" si="1"/>
        <v>197797.38</v>
      </c>
      <c r="H18" s="9">
        <f t="shared" si="2"/>
        <v>1977973.8</v>
      </c>
      <c r="I18" s="9">
        <f t="shared" si="3"/>
        <v>63377.7</v>
      </c>
      <c r="J18" s="9">
        <f t="shared" si="4"/>
        <v>313781.75000000006</v>
      </c>
    </row>
    <row r="19" spans="2:10" x14ac:dyDescent="0.3">
      <c r="B19" s="9">
        <v>18</v>
      </c>
      <c r="C19" s="9">
        <v>748</v>
      </c>
      <c r="D19" s="9">
        <v>7480</v>
      </c>
      <c r="E19" s="9">
        <v>256</v>
      </c>
      <c r="F19" s="9">
        <v>1280</v>
      </c>
      <c r="G19" s="9">
        <f t="shared" si="1"/>
        <v>247199.03999999998</v>
      </c>
      <c r="H19" s="9">
        <f t="shared" si="2"/>
        <v>2471990.4</v>
      </c>
      <c r="I19" s="9">
        <f t="shared" si="3"/>
        <v>84602.880000000005</v>
      </c>
      <c r="J19" s="9">
        <f t="shared" si="4"/>
        <v>418867.20000000001</v>
      </c>
    </row>
    <row r="20" spans="2:10" x14ac:dyDescent="0.3">
      <c r="B20" s="9">
        <v>19</v>
      </c>
      <c r="C20" s="9">
        <v>832</v>
      </c>
      <c r="D20" s="9">
        <v>8320</v>
      </c>
      <c r="E20" s="9">
        <v>303</v>
      </c>
      <c r="F20" s="9">
        <v>1515</v>
      </c>
      <c r="G20" s="9">
        <f t="shared" si="1"/>
        <v>306359.03999999998</v>
      </c>
      <c r="H20" s="9">
        <f t="shared" si="2"/>
        <v>3063590.4</v>
      </c>
      <c r="I20" s="9">
        <f t="shared" si="3"/>
        <v>111570.65999999999</v>
      </c>
      <c r="J20" s="9">
        <f t="shared" si="4"/>
        <v>552384.15</v>
      </c>
    </row>
    <row r="21" spans="2:10" x14ac:dyDescent="0.3">
      <c r="B21" s="9">
        <v>20</v>
      </c>
      <c r="C21" s="9">
        <v>922</v>
      </c>
      <c r="D21" s="9">
        <v>9220</v>
      </c>
      <c r="E21" s="9">
        <v>355</v>
      </c>
      <c r="F21" s="9">
        <v>1775</v>
      </c>
      <c r="G21" s="9">
        <f t="shared" si="1"/>
        <v>376176</v>
      </c>
      <c r="H21" s="9">
        <f t="shared" si="2"/>
        <v>3761759.9999999995</v>
      </c>
      <c r="I21" s="9">
        <f t="shared" si="3"/>
        <v>144840</v>
      </c>
      <c r="J21" s="9">
        <f t="shared" si="4"/>
        <v>717100</v>
      </c>
    </row>
    <row r="22" spans="2:10" x14ac:dyDescent="0.3">
      <c r="B22" s="15">
        <v>21</v>
      </c>
      <c r="C22" s="15">
        <v>1020</v>
      </c>
      <c r="D22" s="15">
        <v>10200</v>
      </c>
      <c r="E22" s="15">
        <v>413</v>
      </c>
      <c r="F22" s="15">
        <v>2065</v>
      </c>
      <c r="G22" s="15">
        <f t="shared" si="1"/>
        <v>458816.4</v>
      </c>
      <c r="H22" s="15">
        <f t="shared" si="2"/>
        <v>4588164</v>
      </c>
      <c r="I22" s="15">
        <f t="shared" si="3"/>
        <v>185775.66</v>
      </c>
      <c r="J22" s="15">
        <f t="shared" si="4"/>
        <v>919771.65</v>
      </c>
    </row>
    <row r="23" spans="2:10" x14ac:dyDescent="0.3">
      <c r="B23" s="9">
        <v>22</v>
      </c>
      <c r="C23" s="9">
        <v>1124</v>
      </c>
      <c r="D23" s="9">
        <v>11240</v>
      </c>
      <c r="E23" s="9">
        <v>454</v>
      </c>
      <c r="F23" s="9">
        <v>2270</v>
      </c>
      <c r="G23" s="9">
        <f t="shared" si="1"/>
        <v>554896.32000000007</v>
      </c>
      <c r="H23" s="9">
        <f t="shared" si="2"/>
        <v>5548963.2000000002</v>
      </c>
      <c r="I23" s="9">
        <f t="shared" si="3"/>
        <v>224130.72</v>
      </c>
      <c r="J23" s="9">
        <f t="shared" si="4"/>
        <v>1109666.8</v>
      </c>
    </row>
    <row r="24" spans="2:10" x14ac:dyDescent="0.3">
      <c r="B24" s="9">
        <v>23</v>
      </c>
      <c r="C24" s="9">
        <v>1237</v>
      </c>
      <c r="D24" s="9">
        <v>12370</v>
      </c>
      <c r="E24" s="9">
        <v>497</v>
      </c>
      <c r="F24" s="9">
        <v>2485</v>
      </c>
      <c r="G24" s="9">
        <f t="shared" si="1"/>
        <v>667460.46000000008</v>
      </c>
      <c r="H24" s="9">
        <f t="shared" si="2"/>
        <v>6674604.6000000006</v>
      </c>
      <c r="I24" s="9">
        <f t="shared" si="3"/>
        <v>268171.26</v>
      </c>
      <c r="J24" s="9">
        <f t="shared" si="4"/>
        <v>1327710.6500000001</v>
      </c>
    </row>
    <row r="25" spans="2:10" x14ac:dyDescent="0.3">
      <c r="B25" s="9">
        <v>24</v>
      </c>
      <c r="C25" s="9">
        <v>1358</v>
      </c>
      <c r="D25" s="9">
        <v>13580</v>
      </c>
      <c r="E25" s="9">
        <v>542</v>
      </c>
      <c r="F25" s="9">
        <v>2710</v>
      </c>
      <c r="G25" s="9">
        <f t="shared" si="1"/>
        <v>797852.16000000003</v>
      </c>
      <c r="H25" s="9">
        <f t="shared" si="2"/>
        <v>7978521.6000000006</v>
      </c>
      <c r="I25" s="9">
        <f t="shared" si="3"/>
        <v>318435.84000000003</v>
      </c>
      <c r="J25" s="9">
        <f t="shared" si="4"/>
        <v>1576569.6</v>
      </c>
    </row>
    <row r="26" spans="2:10" x14ac:dyDescent="0.3">
      <c r="B26" s="9">
        <v>25</v>
      </c>
      <c r="C26" s="9">
        <v>1488</v>
      </c>
      <c r="D26" s="9">
        <v>14880</v>
      </c>
      <c r="E26" s="9">
        <v>590</v>
      </c>
      <c r="F26" s="9">
        <v>2950</v>
      </c>
      <c r="G26" s="9">
        <f t="shared" si="1"/>
        <v>948600</v>
      </c>
      <c r="H26" s="9">
        <f t="shared" si="2"/>
        <v>9486000</v>
      </c>
      <c r="I26" s="9">
        <f t="shared" si="3"/>
        <v>376125</v>
      </c>
      <c r="J26" s="9">
        <f t="shared" si="4"/>
        <v>1862187.5</v>
      </c>
    </row>
    <row r="27" spans="2:10" x14ac:dyDescent="0.3">
      <c r="B27" s="9">
        <v>26</v>
      </c>
      <c r="C27" s="9">
        <v>1628</v>
      </c>
      <c r="D27" s="9">
        <v>16280</v>
      </c>
      <c r="E27" s="9">
        <v>639</v>
      </c>
      <c r="F27" s="9">
        <v>3195</v>
      </c>
      <c r="G27" s="9">
        <f t="shared" si="1"/>
        <v>1122538.56</v>
      </c>
      <c r="H27" s="9">
        <f t="shared" si="2"/>
        <v>11225385.6</v>
      </c>
      <c r="I27" s="9">
        <f t="shared" si="3"/>
        <v>440603.27999999997</v>
      </c>
      <c r="J27" s="9">
        <f t="shared" si="4"/>
        <v>2181418.2000000002</v>
      </c>
    </row>
    <row r="28" spans="2:10" x14ac:dyDescent="0.3">
      <c r="B28" s="9">
        <v>27</v>
      </c>
      <c r="C28" s="9">
        <v>1710</v>
      </c>
      <c r="D28" s="9">
        <v>17100</v>
      </c>
      <c r="E28" s="9">
        <v>690</v>
      </c>
      <c r="F28" s="9">
        <v>3450</v>
      </c>
      <c r="G28" s="9">
        <f t="shared" si="1"/>
        <v>1271521.8</v>
      </c>
      <c r="H28" s="9">
        <f t="shared" si="2"/>
        <v>12715218</v>
      </c>
      <c r="I28" s="9">
        <f t="shared" si="3"/>
        <v>513070.2</v>
      </c>
      <c r="J28" s="9">
        <f t="shared" si="4"/>
        <v>2540200.5</v>
      </c>
    </row>
    <row r="29" spans="2:10" x14ac:dyDescent="0.3">
      <c r="B29" s="9">
        <v>28</v>
      </c>
      <c r="C29" s="9">
        <v>1796</v>
      </c>
      <c r="D29" s="9">
        <v>17960</v>
      </c>
      <c r="E29" s="9">
        <v>743</v>
      </c>
      <c r="F29" s="9">
        <v>3715</v>
      </c>
      <c r="G29" s="9">
        <f t="shared" si="1"/>
        <v>1436225.28</v>
      </c>
      <c r="H29" s="9">
        <f t="shared" si="2"/>
        <v>14362252.800000001</v>
      </c>
      <c r="I29" s="9">
        <f t="shared" si="3"/>
        <v>594162.24</v>
      </c>
      <c r="J29" s="9">
        <f t="shared" si="4"/>
        <v>2941685.6</v>
      </c>
    </row>
    <row r="30" spans="2:10" x14ac:dyDescent="0.3">
      <c r="B30" s="9">
        <v>29</v>
      </c>
      <c r="C30" s="9">
        <v>1886</v>
      </c>
      <c r="D30" s="9">
        <v>18860</v>
      </c>
      <c r="E30" s="9">
        <v>798</v>
      </c>
      <c r="F30" s="9">
        <v>3990</v>
      </c>
      <c r="G30" s="9">
        <f t="shared" si="1"/>
        <v>1617848.52</v>
      </c>
      <c r="H30" s="9">
        <f t="shared" si="2"/>
        <v>16178485.200000001</v>
      </c>
      <c r="I30" s="9">
        <f t="shared" si="3"/>
        <v>684540.36</v>
      </c>
      <c r="J30" s="9">
        <f t="shared" si="4"/>
        <v>3389145.9</v>
      </c>
    </row>
    <row r="31" spans="2:10" x14ac:dyDescent="0.3">
      <c r="B31" s="9">
        <v>30</v>
      </c>
      <c r="C31" s="9">
        <v>1981</v>
      </c>
      <c r="D31" s="9">
        <v>19810</v>
      </c>
      <c r="E31" s="9">
        <v>855</v>
      </c>
      <c r="F31" s="9">
        <v>4275</v>
      </c>
      <c r="G31" s="9">
        <f t="shared" si="1"/>
        <v>1818558</v>
      </c>
      <c r="H31" s="9">
        <f t="shared" si="2"/>
        <v>18185580</v>
      </c>
      <c r="I31" s="9">
        <f t="shared" si="3"/>
        <v>784890</v>
      </c>
      <c r="J31" s="9">
        <f t="shared" si="4"/>
        <v>3885975</v>
      </c>
    </row>
    <row r="32" spans="2:10" x14ac:dyDescent="0.3">
      <c r="B32" s="9">
        <v>31</v>
      </c>
      <c r="C32" s="9">
        <v>2081</v>
      </c>
      <c r="D32" s="9">
        <v>20810</v>
      </c>
      <c r="E32" s="9">
        <v>914</v>
      </c>
      <c r="F32" s="9">
        <v>4570</v>
      </c>
      <c r="G32" s="9">
        <f t="shared" si="1"/>
        <v>2039837.82</v>
      </c>
      <c r="H32" s="9">
        <f t="shared" si="2"/>
        <v>20398378.199999999</v>
      </c>
      <c r="I32" s="9">
        <f t="shared" si="3"/>
        <v>895921.08000000007</v>
      </c>
      <c r="J32" s="9">
        <f t="shared" si="4"/>
        <v>4435687.7</v>
      </c>
    </row>
    <row r="33" spans="2:10" x14ac:dyDescent="0.3">
      <c r="B33" s="9">
        <v>32</v>
      </c>
      <c r="C33" s="9">
        <v>2186</v>
      </c>
      <c r="D33" s="9">
        <v>21860</v>
      </c>
      <c r="E33" s="9">
        <v>976</v>
      </c>
      <c r="F33" s="9">
        <v>4880</v>
      </c>
      <c r="G33" s="9">
        <f t="shared" si="1"/>
        <v>2283233.2800000003</v>
      </c>
      <c r="H33" s="9">
        <f t="shared" si="2"/>
        <v>22832332.800000001</v>
      </c>
      <c r="I33" s="9">
        <f t="shared" si="3"/>
        <v>1019412.48</v>
      </c>
      <c r="J33" s="9">
        <f t="shared" si="4"/>
        <v>5047091.2000000002</v>
      </c>
    </row>
    <row r="34" spans="2:10" x14ac:dyDescent="0.3">
      <c r="B34" s="9">
        <v>33</v>
      </c>
      <c r="C34" s="9">
        <v>2296</v>
      </c>
      <c r="D34" s="9">
        <v>22960</v>
      </c>
      <c r="E34" s="9">
        <v>1039</v>
      </c>
      <c r="F34" s="9">
        <v>5195</v>
      </c>
      <c r="G34" s="9">
        <f t="shared" si="1"/>
        <v>2550350.8800000004</v>
      </c>
      <c r="H34" s="9">
        <f t="shared" si="2"/>
        <v>25503508.800000004</v>
      </c>
      <c r="I34" s="9">
        <f t="shared" si="3"/>
        <v>1154100.4200000002</v>
      </c>
      <c r="J34" s="9">
        <f t="shared" si="4"/>
        <v>5713928.5499999998</v>
      </c>
    </row>
    <row r="35" spans="2:10" x14ac:dyDescent="0.3">
      <c r="B35" s="9">
        <v>34</v>
      </c>
      <c r="C35" s="9">
        <v>2411</v>
      </c>
      <c r="D35" s="9">
        <v>24110</v>
      </c>
      <c r="E35" s="9">
        <v>1104</v>
      </c>
      <c r="F35" s="9">
        <v>5520</v>
      </c>
      <c r="G35" s="9">
        <f t="shared" si="1"/>
        <v>2842858.32</v>
      </c>
      <c r="H35" s="9">
        <f t="shared" si="2"/>
        <v>28428583.199999999</v>
      </c>
      <c r="I35" s="9">
        <f t="shared" si="3"/>
        <v>1301748.48</v>
      </c>
      <c r="J35" s="9">
        <f t="shared" si="4"/>
        <v>6444931.2000000002</v>
      </c>
    </row>
    <row r="36" spans="2:10" x14ac:dyDescent="0.3">
      <c r="B36" s="9">
        <v>35</v>
      </c>
      <c r="C36" s="9">
        <v>2532</v>
      </c>
      <c r="D36" s="9">
        <v>25320</v>
      </c>
      <c r="E36" s="9">
        <v>1171</v>
      </c>
      <c r="F36" s="9">
        <v>5855</v>
      </c>
      <c r="G36" s="9">
        <f t="shared" si="1"/>
        <v>3163734.0000000005</v>
      </c>
      <c r="H36" s="9">
        <f t="shared" si="2"/>
        <v>31637340.000000004</v>
      </c>
      <c r="I36" s="9">
        <f t="shared" si="3"/>
        <v>1463164.5000000002</v>
      </c>
      <c r="J36" s="9">
        <f t="shared" si="4"/>
        <v>7244098.75</v>
      </c>
    </row>
    <row r="37" spans="2:10" x14ac:dyDescent="0.3">
      <c r="B37" s="9">
        <v>36</v>
      </c>
      <c r="C37" s="9">
        <v>2659</v>
      </c>
      <c r="D37" s="9">
        <v>26590</v>
      </c>
      <c r="E37" s="9">
        <v>1240</v>
      </c>
      <c r="F37" s="9">
        <v>6200</v>
      </c>
      <c r="G37" s="9">
        <f t="shared" si="1"/>
        <v>3514985.28</v>
      </c>
      <c r="H37" s="9">
        <f t="shared" si="2"/>
        <v>35149852.799999997</v>
      </c>
      <c r="I37" s="9">
        <f t="shared" si="3"/>
        <v>1639180.8</v>
      </c>
      <c r="J37" s="9">
        <f t="shared" si="4"/>
        <v>8115552</v>
      </c>
    </row>
    <row r="38" spans="2:10" x14ac:dyDescent="0.3">
      <c r="B38" s="9">
        <v>37</v>
      </c>
      <c r="C38" s="9">
        <v>2792</v>
      </c>
      <c r="D38" s="9">
        <v>27920</v>
      </c>
      <c r="E38" s="9">
        <v>1311</v>
      </c>
      <c r="F38" s="9">
        <v>6555</v>
      </c>
      <c r="G38" s="9">
        <f t="shared" si="1"/>
        <v>3898692.9600000004</v>
      </c>
      <c r="H38" s="9">
        <f t="shared" si="2"/>
        <v>38986929.600000001</v>
      </c>
      <c r="I38" s="9">
        <f t="shared" si="3"/>
        <v>1830654.1800000002</v>
      </c>
      <c r="J38" s="9">
        <f t="shared" si="4"/>
        <v>9063532.9499999993</v>
      </c>
    </row>
    <row r="39" spans="2:10" x14ac:dyDescent="0.3">
      <c r="B39" s="9">
        <v>38</v>
      </c>
      <c r="C39" s="9">
        <v>2932</v>
      </c>
      <c r="D39" s="9">
        <v>29320</v>
      </c>
      <c r="E39" s="9">
        <v>1384</v>
      </c>
      <c r="F39" s="9">
        <v>6920</v>
      </c>
      <c r="G39" s="9">
        <f t="shared" si="1"/>
        <v>4318484.16</v>
      </c>
      <c r="H39" s="9">
        <f t="shared" si="2"/>
        <v>43184841.600000001</v>
      </c>
      <c r="I39" s="9">
        <f t="shared" si="3"/>
        <v>2038465.92</v>
      </c>
      <c r="J39" s="9">
        <f t="shared" si="4"/>
        <v>10092404.800000001</v>
      </c>
    </row>
    <row r="40" spans="2:10" x14ac:dyDescent="0.3">
      <c r="B40" s="9">
        <v>39</v>
      </c>
      <c r="C40" s="9">
        <v>3079</v>
      </c>
      <c r="D40" s="9">
        <v>30790</v>
      </c>
      <c r="E40" s="9">
        <v>1460</v>
      </c>
      <c r="F40" s="9">
        <v>7300</v>
      </c>
      <c r="G40" s="9">
        <f t="shared" si="1"/>
        <v>4776822.18</v>
      </c>
      <c r="H40" s="9">
        <f t="shared" si="2"/>
        <v>47768221.800000004</v>
      </c>
      <c r="I40" s="9">
        <f t="shared" si="3"/>
        <v>2265073.2000000002</v>
      </c>
      <c r="J40" s="9">
        <f t="shared" si="4"/>
        <v>11214333</v>
      </c>
    </row>
    <row r="41" spans="2:10" x14ac:dyDescent="0.3">
      <c r="B41" s="9">
        <v>40</v>
      </c>
      <c r="C41" s="9">
        <v>3233</v>
      </c>
      <c r="D41" s="9">
        <v>32330</v>
      </c>
      <c r="E41" s="9">
        <v>1537</v>
      </c>
      <c r="F41" s="9">
        <v>7685</v>
      </c>
      <c r="G41" s="9">
        <f t="shared" si="1"/>
        <v>5276256</v>
      </c>
      <c r="H41" s="9">
        <f t="shared" si="2"/>
        <v>52762560</v>
      </c>
      <c r="I41" s="9">
        <f t="shared" si="3"/>
        <v>2508384</v>
      </c>
      <c r="J41" s="9">
        <f t="shared" si="4"/>
        <v>12418960</v>
      </c>
    </row>
    <row r="42" spans="2:10" x14ac:dyDescent="0.3">
      <c r="B42" s="9">
        <v>41</v>
      </c>
      <c r="C42" s="9">
        <v>3395</v>
      </c>
      <c r="D42" s="9">
        <v>33950</v>
      </c>
      <c r="E42" s="9">
        <v>1616</v>
      </c>
      <c r="F42" s="9">
        <v>8080</v>
      </c>
      <c r="G42" s="9">
        <f t="shared" si="1"/>
        <v>5821134.9000000004</v>
      </c>
      <c r="H42" s="9">
        <f t="shared" si="2"/>
        <v>58211349</v>
      </c>
      <c r="I42" s="9">
        <f t="shared" si="3"/>
        <v>2770825.92</v>
      </c>
      <c r="J42" s="9">
        <f t="shared" si="4"/>
        <v>13718304.800000001</v>
      </c>
    </row>
    <row r="43" spans="2:10" x14ac:dyDescent="0.3">
      <c r="B43" s="9">
        <v>42</v>
      </c>
      <c r="C43" s="9">
        <v>3565</v>
      </c>
      <c r="D43" s="9">
        <v>35650</v>
      </c>
      <c r="E43" s="9">
        <v>1697</v>
      </c>
      <c r="F43" s="9">
        <v>8485</v>
      </c>
      <c r="G43" s="9">
        <f t="shared" si="1"/>
        <v>6414433.2000000002</v>
      </c>
      <c r="H43" s="9">
        <f t="shared" si="2"/>
        <v>64144332.000000007</v>
      </c>
      <c r="I43" s="9">
        <f t="shared" si="3"/>
        <v>3053378.16</v>
      </c>
      <c r="J43" s="9">
        <f t="shared" si="4"/>
        <v>15117215.4</v>
      </c>
    </row>
    <row r="44" spans="2:10" x14ac:dyDescent="0.3">
      <c r="B44" s="9">
        <v>43</v>
      </c>
      <c r="C44" s="9">
        <v>3744</v>
      </c>
      <c r="D44" s="9">
        <v>37440</v>
      </c>
      <c r="E44" s="9">
        <v>1780</v>
      </c>
      <c r="F44" s="9">
        <v>8900</v>
      </c>
      <c r="G44" s="9">
        <f t="shared" si="1"/>
        <v>7061109.1200000001</v>
      </c>
      <c r="H44" s="9">
        <f t="shared" si="2"/>
        <v>70611091.200000003</v>
      </c>
      <c r="I44" s="9">
        <f t="shared" si="3"/>
        <v>3357044.4</v>
      </c>
      <c r="J44" s="9">
        <f t="shared" si="4"/>
        <v>16620661</v>
      </c>
    </row>
    <row r="45" spans="2:10" x14ac:dyDescent="0.3">
      <c r="B45" s="9">
        <v>44</v>
      </c>
      <c r="C45" s="9">
        <v>3932</v>
      </c>
      <c r="D45" s="9">
        <v>39320</v>
      </c>
      <c r="E45" s="9">
        <v>1866</v>
      </c>
      <c r="F45" s="9">
        <v>9330</v>
      </c>
      <c r="G45" s="9">
        <f t="shared" si="1"/>
        <v>7764599.04</v>
      </c>
      <c r="H45" s="9">
        <f t="shared" si="2"/>
        <v>77645990.400000006</v>
      </c>
      <c r="I45" s="9">
        <f t="shared" si="3"/>
        <v>3684827.52</v>
      </c>
      <c r="J45" s="9">
        <f t="shared" si="4"/>
        <v>18243508.800000001</v>
      </c>
    </row>
    <row r="46" spans="2:10" x14ac:dyDescent="0.3">
      <c r="B46" s="9">
        <v>45</v>
      </c>
      <c r="C46" s="9">
        <v>4129</v>
      </c>
      <c r="D46" s="9">
        <v>41290</v>
      </c>
      <c r="E46" s="9">
        <v>1953</v>
      </c>
      <c r="F46" s="9">
        <v>9765</v>
      </c>
      <c r="G46" s="9">
        <f t="shared" si="1"/>
        <v>8528449.5</v>
      </c>
      <c r="H46" s="9">
        <f t="shared" si="2"/>
        <v>85284495</v>
      </c>
      <c r="I46" s="9">
        <f t="shared" si="3"/>
        <v>4033921.5</v>
      </c>
      <c r="J46" s="9">
        <f t="shared" si="4"/>
        <v>19971866.25</v>
      </c>
    </row>
    <row r="47" spans="2:10" x14ac:dyDescent="0.3">
      <c r="B47" s="9">
        <v>46</v>
      </c>
      <c r="C47" s="9">
        <v>4336</v>
      </c>
      <c r="D47" s="9">
        <v>43360</v>
      </c>
      <c r="E47" s="9">
        <v>2042</v>
      </c>
      <c r="F47" s="9">
        <v>10210</v>
      </c>
      <c r="G47" s="9">
        <f t="shared" si="1"/>
        <v>9358475.5199999996</v>
      </c>
      <c r="H47" s="9">
        <f t="shared" si="2"/>
        <v>93584755.200000003</v>
      </c>
      <c r="I47" s="9">
        <f t="shared" si="3"/>
        <v>4407289.4400000004</v>
      </c>
      <c r="J47" s="9">
        <f t="shared" si="4"/>
        <v>21820403.600000001</v>
      </c>
    </row>
    <row r="48" spans="2:10" x14ac:dyDescent="0.3">
      <c r="B48" s="9">
        <v>47</v>
      </c>
      <c r="C48" s="9">
        <v>4553</v>
      </c>
      <c r="D48" s="9">
        <v>45530</v>
      </c>
      <c r="E48" s="9">
        <v>2133</v>
      </c>
      <c r="F48" s="9">
        <v>10665</v>
      </c>
      <c r="G48" s="9">
        <f t="shared" si="1"/>
        <v>10258728.539999999</v>
      </c>
      <c r="H48" s="9">
        <f t="shared" si="2"/>
        <v>102587285.39999999</v>
      </c>
      <c r="I48" s="9">
        <f t="shared" si="3"/>
        <v>4806032.9399999995</v>
      </c>
      <c r="J48" s="9">
        <f t="shared" si="4"/>
        <v>23794574.849999998</v>
      </c>
    </row>
    <row r="49" spans="2:10" x14ac:dyDescent="0.3">
      <c r="B49" s="9">
        <v>48</v>
      </c>
      <c r="C49" s="9">
        <v>4781</v>
      </c>
      <c r="D49" s="9">
        <v>47810</v>
      </c>
      <c r="E49" s="9">
        <v>2226</v>
      </c>
      <c r="F49" s="9">
        <v>11130</v>
      </c>
      <c r="G49" s="9">
        <f t="shared" si="1"/>
        <v>11235732.48</v>
      </c>
      <c r="H49" s="9">
        <f t="shared" si="2"/>
        <v>112357324.8</v>
      </c>
      <c r="I49" s="9">
        <f t="shared" si="3"/>
        <v>5231278.0800000001</v>
      </c>
      <c r="J49" s="9">
        <f t="shared" si="4"/>
        <v>25899955.200000003</v>
      </c>
    </row>
    <row r="50" spans="2:10" x14ac:dyDescent="0.3">
      <c r="B50" s="9">
        <v>49</v>
      </c>
      <c r="C50" s="9">
        <v>5021</v>
      </c>
      <c r="D50" s="9">
        <v>50210</v>
      </c>
      <c r="E50" s="9">
        <v>2321</v>
      </c>
      <c r="F50" s="9">
        <v>11605</v>
      </c>
      <c r="G50" s="9">
        <f t="shared" si="1"/>
        <v>12296529.420000002</v>
      </c>
      <c r="H50" s="9">
        <f t="shared" si="2"/>
        <v>122965294.2</v>
      </c>
      <c r="I50" s="9">
        <f t="shared" si="3"/>
        <v>5684175.4200000009</v>
      </c>
      <c r="J50" s="9">
        <f t="shared" si="4"/>
        <v>28142241.050000001</v>
      </c>
    </row>
    <row r="51" spans="2:10" x14ac:dyDescent="0.3">
      <c r="B51" s="9">
        <v>50</v>
      </c>
      <c r="C51" s="9">
        <v>5273</v>
      </c>
      <c r="D51" s="9">
        <v>52730</v>
      </c>
      <c r="E51" s="9">
        <v>2419</v>
      </c>
      <c r="F51" s="9">
        <v>12095</v>
      </c>
      <c r="G51" s="9">
        <f t="shared" si="1"/>
        <v>13446150</v>
      </c>
      <c r="H51" s="9">
        <f t="shared" si="2"/>
        <v>134461500</v>
      </c>
      <c r="I51" s="9">
        <f t="shared" si="3"/>
        <v>6168450</v>
      </c>
      <c r="J51" s="9">
        <f t="shared" si="4"/>
        <v>30539875</v>
      </c>
    </row>
    <row r="52" spans="2:10" x14ac:dyDescent="0.3">
      <c r="B52" s="9">
        <v>51</v>
      </c>
      <c r="C52" s="9">
        <v>5537</v>
      </c>
      <c r="D52" s="9">
        <v>55370</v>
      </c>
      <c r="E52" s="9">
        <v>2518</v>
      </c>
      <c r="F52" s="9">
        <v>12590</v>
      </c>
      <c r="G52" s="9">
        <f t="shared" si="1"/>
        <v>14689771.74</v>
      </c>
      <c r="H52" s="9">
        <f t="shared" si="2"/>
        <v>146897717.40000001</v>
      </c>
      <c r="I52" s="9">
        <f t="shared" si="3"/>
        <v>6680304.3600000003</v>
      </c>
      <c r="J52" s="9">
        <f t="shared" si="4"/>
        <v>33074055.899999999</v>
      </c>
    </row>
    <row r="53" spans="2:10" x14ac:dyDescent="0.3">
      <c r="B53" s="9">
        <v>52</v>
      </c>
      <c r="C53" s="9">
        <v>5814</v>
      </c>
      <c r="D53" s="9">
        <v>58140</v>
      </c>
      <c r="E53" s="9">
        <v>2619</v>
      </c>
      <c r="F53" s="9">
        <v>13095</v>
      </c>
      <c r="G53" s="9">
        <f t="shared" si="1"/>
        <v>16035477.119999999</v>
      </c>
      <c r="H53" s="9">
        <f t="shared" si="2"/>
        <v>160354771.19999999</v>
      </c>
      <c r="I53" s="9">
        <f t="shared" si="3"/>
        <v>7223411.5199999996</v>
      </c>
      <c r="J53" s="9">
        <f t="shared" si="4"/>
        <v>35762968.800000004</v>
      </c>
    </row>
    <row r="54" spans="2:10" x14ac:dyDescent="0.3">
      <c r="B54" s="9">
        <v>53</v>
      </c>
      <c r="C54" s="9">
        <v>6105</v>
      </c>
      <c r="D54" s="9">
        <v>61050</v>
      </c>
      <c r="E54" s="9">
        <v>2722</v>
      </c>
      <c r="F54" s="9">
        <v>13610</v>
      </c>
      <c r="G54" s="9">
        <f t="shared" si="1"/>
        <v>17491923.900000002</v>
      </c>
      <c r="H54" s="9">
        <f t="shared" si="2"/>
        <v>174919239</v>
      </c>
      <c r="I54" s="9">
        <f t="shared" si="3"/>
        <v>7799019.96</v>
      </c>
      <c r="J54" s="9">
        <f t="shared" si="4"/>
        <v>38612794.899999999</v>
      </c>
    </row>
    <row r="55" spans="2:10" x14ac:dyDescent="0.3">
      <c r="B55" s="9">
        <v>54</v>
      </c>
      <c r="C55" s="9">
        <v>6411</v>
      </c>
      <c r="D55" s="9">
        <v>64110</v>
      </c>
      <c r="E55" s="9">
        <v>2827</v>
      </c>
      <c r="F55" s="9">
        <v>14135</v>
      </c>
      <c r="G55" s="9">
        <f t="shared" si="1"/>
        <v>19068365.52</v>
      </c>
      <c r="H55" s="9">
        <f t="shared" si="2"/>
        <v>190683655.19999999</v>
      </c>
      <c r="I55" s="9">
        <f t="shared" si="3"/>
        <v>8408402.6400000006</v>
      </c>
      <c r="J55" s="9">
        <f t="shared" si="4"/>
        <v>41629836.600000001</v>
      </c>
    </row>
    <row r="56" spans="2:10" x14ac:dyDescent="0.3">
      <c r="B56" s="9">
        <v>55</v>
      </c>
      <c r="C56" s="9">
        <v>6732</v>
      </c>
      <c r="D56" s="9">
        <v>67320</v>
      </c>
      <c r="E56" s="9">
        <v>2935</v>
      </c>
      <c r="F56" s="9">
        <v>14675</v>
      </c>
      <c r="G56" s="9">
        <f t="shared" si="1"/>
        <v>20771586</v>
      </c>
      <c r="H56" s="9">
        <f t="shared" si="2"/>
        <v>207715860</v>
      </c>
      <c r="I56" s="9">
        <f t="shared" si="3"/>
        <v>9055942.5</v>
      </c>
      <c r="J56" s="9">
        <f t="shared" si="4"/>
        <v>44835793.75</v>
      </c>
    </row>
    <row r="57" spans="2:10" x14ac:dyDescent="0.3">
      <c r="B57" s="9">
        <v>56</v>
      </c>
      <c r="C57" s="9">
        <v>7069</v>
      </c>
      <c r="D57" s="9">
        <v>70690</v>
      </c>
      <c r="E57" s="9">
        <v>3044</v>
      </c>
      <c r="F57" s="9">
        <v>15220</v>
      </c>
      <c r="G57" s="9">
        <f t="shared" si="1"/>
        <v>22611751.680000003</v>
      </c>
      <c r="H57" s="9">
        <f t="shared" si="2"/>
        <v>226117516.80000001</v>
      </c>
      <c r="I57" s="9">
        <f t="shared" si="3"/>
        <v>9736903.6800000016</v>
      </c>
      <c r="J57" s="9">
        <f t="shared" si="4"/>
        <v>48207219.200000003</v>
      </c>
    </row>
    <row r="58" spans="2:10" x14ac:dyDescent="0.3">
      <c r="B58" s="9">
        <v>57</v>
      </c>
      <c r="C58" s="9">
        <v>7423</v>
      </c>
      <c r="D58" s="9">
        <v>74230</v>
      </c>
      <c r="E58" s="9">
        <v>3155</v>
      </c>
      <c r="F58" s="9">
        <v>15775</v>
      </c>
      <c r="G58" s="9">
        <f t="shared" si="1"/>
        <v>24599673.539999999</v>
      </c>
      <c r="H58" s="9">
        <f t="shared" si="2"/>
        <v>245996735.40000001</v>
      </c>
      <c r="I58" s="9">
        <f t="shared" si="3"/>
        <v>10455606.9</v>
      </c>
      <c r="J58" s="9">
        <f t="shared" si="4"/>
        <v>51765504.75</v>
      </c>
    </row>
    <row r="59" spans="2:10" x14ac:dyDescent="0.3">
      <c r="B59" s="9">
        <v>58</v>
      </c>
      <c r="C59" s="9">
        <v>7795</v>
      </c>
      <c r="D59" s="9">
        <v>77950</v>
      </c>
      <c r="E59" s="9">
        <v>3268</v>
      </c>
      <c r="F59" s="9">
        <v>16340</v>
      </c>
      <c r="G59" s="9">
        <f t="shared" si="1"/>
        <v>26746827.600000001</v>
      </c>
      <c r="H59" s="9">
        <f t="shared" si="2"/>
        <v>267468276.00000003</v>
      </c>
      <c r="I59" s="9">
        <f t="shared" si="3"/>
        <v>11213423.040000001</v>
      </c>
      <c r="J59" s="9">
        <f t="shared" si="4"/>
        <v>55517437.600000001</v>
      </c>
    </row>
    <row r="60" spans="2:10" x14ac:dyDescent="0.3">
      <c r="B60" s="9">
        <v>59</v>
      </c>
      <c r="C60" s="9">
        <v>8185</v>
      </c>
      <c r="D60" s="9">
        <v>81850</v>
      </c>
      <c r="E60" s="9">
        <v>3383</v>
      </c>
      <c r="F60" s="9">
        <v>16915</v>
      </c>
      <c r="G60" s="9">
        <f t="shared" si="1"/>
        <v>29061824.699999999</v>
      </c>
      <c r="H60" s="9">
        <f t="shared" si="2"/>
        <v>290618247</v>
      </c>
      <c r="I60" s="9">
        <f t="shared" si="3"/>
        <v>12011747.459999999</v>
      </c>
      <c r="J60" s="9">
        <f t="shared" si="4"/>
        <v>59469926.150000006</v>
      </c>
    </row>
    <row r="61" spans="2:10" x14ac:dyDescent="0.3">
      <c r="B61" s="9">
        <v>60</v>
      </c>
      <c r="C61" s="9">
        <v>8595</v>
      </c>
      <c r="D61" s="9">
        <v>85950</v>
      </c>
      <c r="E61" s="9">
        <v>3501</v>
      </c>
      <c r="F61" s="9">
        <v>17505</v>
      </c>
      <c r="G61" s="9">
        <f t="shared" si="1"/>
        <v>31560840</v>
      </c>
      <c r="H61" s="9">
        <f t="shared" si="2"/>
        <v>315608400</v>
      </c>
      <c r="I61" s="9">
        <f t="shared" si="3"/>
        <v>12855672</v>
      </c>
      <c r="J61" s="9">
        <f t="shared" si="4"/>
        <v>63648180</v>
      </c>
    </row>
    <row r="62" spans="2:10" x14ac:dyDescent="0.3">
      <c r="B62" s="9">
        <v>61</v>
      </c>
      <c r="C62" s="9">
        <v>9025</v>
      </c>
      <c r="D62" s="9">
        <v>90250</v>
      </c>
      <c r="E62" s="9">
        <v>3620</v>
      </c>
      <c r="F62" s="9">
        <v>18100</v>
      </c>
      <c r="G62" s="9">
        <f t="shared" si="1"/>
        <v>34253665.5</v>
      </c>
      <c r="H62" s="9">
        <f t="shared" si="2"/>
        <v>342536655</v>
      </c>
      <c r="I62" s="9">
        <f t="shared" si="3"/>
        <v>13739420.4</v>
      </c>
      <c r="J62" s="9">
        <f t="shared" si="4"/>
        <v>68023601</v>
      </c>
    </row>
    <row r="63" spans="2:10" x14ac:dyDescent="0.3">
      <c r="B63" s="9">
        <v>62</v>
      </c>
      <c r="C63" s="9">
        <v>9477</v>
      </c>
      <c r="D63" s="9">
        <v>94770</v>
      </c>
      <c r="E63" s="9">
        <v>3741</v>
      </c>
      <c r="F63" s="9">
        <v>18705</v>
      </c>
      <c r="G63" s="9">
        <f t="shared" si="1"/>
        <v>37158179.759999998</v>
      </c>
      <c r="H63" s="9">
        <f t="shared" si="2"/>
        <v>371581797.60000002</v>
      </c>
      <c r="I63" s="9">
        <f t="shared" si="3"/>
        <v>14668012.08</v>
      </c>
      <c r="J63" s="9">
        <f t="shared" si="4"/>
        <v>72621040.200000003</v>
      </c>
    </row>
    <row r="64" spans="2:10" x14ac:dyDescent="0.3">
      <c r="B64" s="9">
        <v>63</v>
      </c>
      <c r="C64" s="9">
        <v>9951</v>
      </c>
      <c r="D64" s="9">
        <v>99510</v>
      </c>
      <c r="E64" s="9">
        <v>3864</v>
      </c>
      <c r="F64" s="9">
        <v>19320</v>
      </c>
      <c r="G64" s="9">
        <f t="shared" si="1"/>
        <v>40285429.380000003</v>
      </c>
      <c r="H64" s="9">
        <f t="shared" si="2"/>
        <v>402854293.80000001</v>
      </c>
      <c r="I64" s="9">
        <f t="shared" si="3"/>
        <v>15642940.320000002</v>
      </c>
      <c r="J64" s="9">
        <f t="shared" si="4"/>
        <v>77447890.799999997</v>
      </c>
    </row>
    <row r="65" spans="2:10" x14ac:dyDescent="0.3">
      <c r="B65" s="9">
        <v>64</v>
      </c>
      <c r="C65" s="9">
        <v>10449</v>
      </c>
      <c r="D65" s="9">
        <v>104490</v>
      </c>
      <c r="E65" s="9">
        <v>3989</v>
      </c>
      <c r="F65" s="9">
        <v>19945</v>
      </c>
      <c r="G65" s="9">
        <f t="shared" si="1"/>
        <v>43655086.079999998</v>
      </c>
      <c r="H65" s="9">
        <f t="shared" si="2"/>
        <v>436550860.80000001</v>
      </c>
      <c r="I65" s="9">
        <f t="shared" si="3"/>
        <v>16665722.880000001</v>
      </c>
      <c r="J65" s="9">
        <f t="shared" si="4"/>
        <v>82511667.200000003</v>
      </c>
    </row>
    <row r="66" spans="2:10" x14ac:dyDescent="0.3">
      <c r="B66" s="9">
        <v>65</v>
      </c>
      <c r="C66" s="9">
        <v>10972</v>
      </c>
      <c r="D66" s="9">
        <v>109720</v>
      </c>
      <c r="E66" s="9">
        <v>4117</v>
      </c>
      <c r="F66" s="9">
        <v>20585</v>
      </c>
      <c r="G66" s="9">
        <f t="shared" si="1"/>
        <v>47283834</v>
      </c>
      <c r="H66" s="9">
        <f t="shared" si="2"/>
        <v>472838340</v>
      </c>
      <c r="I66" s="9">
        <f t="shared" si="3"/>
        <v>17742211.5</v>
      </c>
      <c r="J66" s="9">
        <f t="shared" si="4"/>
        <v>87841341.250000015</v>
      </c>
    </row>
    <row r="67" spans="2:10" x14ac:dyDescent="0.3">
      <c r="B67" s="9">
        <v>66</v>
      </c>
      <c r="C67" s="9">
        <v>11521</v>
      </c>
      <c r="D67" s="9">
        <v>115210</v>
      </c>
      <c r="E67" s="9">
        <v>4246</v>
      </c>
      <c r="F67" s="9">
        <v>21230</v>
      </c>
      <c r="G67" s="9">
        <f t="shared" si="1"/>
        <v>51189185.520000003</v>
      </c>
      <c r="H67" s="9">
        <f t="shared" si="2"/>
        <v>511891855.20000005</v>
      </c>
      <c r="I67" s="9">
        <f t="shared" si="3"/>
        <v>18865487.520000003</v>
      </c>
      <c r="J67" s="9">
        <f t="shared" si="4"/>
        <v>93402658.799999997</v>
      </c>
    </row>
    <row r="68" spans="2:10" x14ac:dyDescent="0.3">
      <c r="B68" s="9">
        <v>67</v>
      </c>
      <c r="C68" s="9">
        <v>12098</v>
      </c>
      <c r="D68" s="9">
        <v>120980</v>
      </c>
      <c r="E68" s="9">
        <v>4377</v>
      </c>
      <c r="F68" s="9">
        <v>21885</v>
      </c>
      <c r="G68" s="9">
        <f t="shared" ref="G68:G131" si="5">C68*$B68*($B68*1.02)</f>
        <v>55394080.440000005</v>
      </c>
      <c r="H68" s="9">
        <f t="shared" ref="H68:H131" si="6">D68*$B68*($B68*1.02)</f>
        <v>553940804.39999998</v>
      </c>
      <c r="I68" s="9">
        <f t="shared" ref="I68:I131" si="7">E68*$B68*($B68*1.02)</f>
        <v>20041320.060000002</v>
      </c>
      <c r="J68" s="9">
        <f t="shared" ref="J68:J131" si="8">F68*$B68*($B68*1.01)</f>
        <v>99224182.650000006</v>
      </c>
    </row>
    <row r="69" spans="2:10" x14ac:dyDescent="0.3">
      <c r="B69" s="9">
        <v>68</v>
      </c>
      <c r="C69" s="9">
        <v>12703</v>
      </c>
      <c r="D69" s="9">
        <v>127030</v>
      </c>
      <c r="E69" s="9">
        <v>4510</v>
      </c>
      <c r="F69" s="9">
        <v>22550</v>
      </c>
      <c r="G69" s="9">
        <f t="shared" si="5"/>
        <v>59913445.439999998</v>
      </c>
      <c r="H69" s="9">
        <f t="shared" si="6"/>
        <v>599134454.39999998</v>
      </c>
      <c r="I69" s="9">
        <f t="shared" si="7"/>
        <v>21271324.800000001</v>
      </c>
      <c r="J69" s="9">
        <f t="shared" si="8"/>
        <v>105313912.00000001</v>
      </c>
    </row>
    <row r="70" spans="2:10" x14ac:dyDescent="0.3">
      <c r="B70" s="9">
        <v>69</v>
      </c>
      <c r="C70" s="9">
        <v>13339</v>
      </c>
      <c r="D70" s="9">
        <v>133390</v>
      </c>
      <c r="E70" s="9">
        <v>4646</v>
      </c>
      <c r="F70" s="9">
        <v>23230</v>
      </c>
      <c r="G70" s="9">
        <f t="shared" si="5"/>
        <v>64777118.579999998</v>
      </c>
      <c r="H70" s="9">
        <f t="shared" si="6"/>
        <v>647771185.79999995</v>
      </c>
      <c r="I70" s="9">
        <f t="shared" si="7"/>
        <v>22561998.119999997</v>
      </c>
      <c r="J70" s="9">
        <f t="shared" si="8"/>
        <v>111704010.3</v>
      </c>
    </row>
    <row r="71" spans="2:10" x14ac:dyDescent="0.3">
      <c r="B71" s="9">
        <v>70</v>
      </c>
      <c r="C71" s="9">
        <v>14006</v>
      </c>
      <c r="D71" s="9">
        <v>140060</v>
      </c>
      <c r="E71" s="9">
        <v>4783</v>
      </c>
      <c r="F71" s="9">
        <v>23915</v>
      </c>
      <c r="G71" s="9">
        <f t="shared" si="5"/>
        <v>70001988</v>
      </c>
      <c r="H71" s="9">
        <f t="shared" si="6"/>
        <v>700019880</v>
      </c>
      <c r="I71" s="9">
        <f t="shared" si="7"/>
        <v>23905434.000000004</v>
      </c>
      <c r="J71" s="9">
        <f t="shared" si="8"/>
        <v>118355335</v>
      </c>
    </row>
    <row r="72" spans="2:10" x14ac:dyDescent="0.3">
      <c r="B72" s="9">
        <v>71</v>
      </c>
      <c r="C72" s="9">
        <v>14707</v>
      </c>
      <c r="D72" s="9">
        <v>147070</v>
      </c>
      <c r="E72" s="9">
        <v>4922</v>
      </c>
      <c r="F72" s="9">
        <v>24610</v>
      </c>
      <c r="G72" s="9">
        <f t="shared" si="5"/>
        <v>75620746.739999995</v>
      </c>
      <c r="H72" s="9">
        <f t="shared" si="6"/>
        <v>756207467.39999998</v>
      </c>
      <c r="I72" s="9">
        <f t="shared" si="7"/>
        <v>25308038.039999999</v>
      </c>
      <c r="J72" s="9">
        <f t="shared" si="8"/>
        <v>125299600.09999999</v>
      </c>
    </row>
    <row r="73" spans="2:10" x14ac:dyDescent="0.3">
      <c r="B73" s="9">
        <v>72</v>
      </c>
      <c r="C73" s="9">
        <v>15443</v>
      </c>
      <c r="D73" s="9">
        <v>154430</v>
      </c>
      <c r="E73" s="9">
        <v>5063</v>
      </c>
      <c r="F73" s="9">
        <v>25315</v>
      </c>
      <c r="G73" s="9">
        <f t="shared" si="5"/>
        <v>81657642.239999995</v>
      </c>
      <c r="H73" s="9">
        <f t="shared" si="6"/>
        <v>816576422.39999998</v>
      </c>
      <c r="I73" s="9">
        <f t="shared" si="7"/>
        <v>26771523.84</v>
      </c>
      <c r="J73" s="9">
        <f t="shared" si="8"/>
        <v>132545289.59999999</v>
      </c>
    </row>
    <row r="74" spans="2:10" x14ac:dyDescent="0.3">
      <c r="B74" s="9">
        <v>73</v>
      </c>
      <c r="C74" s="9">
        <v>16216</v>
      </c>
      <c r="D74" s="9">
        <v>162160</v>
      </c>
      <c r="E74" s="9">
        <v>5206</v>
      </c>
      <c r="F74" s="9">
        <v>26030</v>
      </c>
      <c r="G74" s="9">
        <f t="shared" si="5"/>
        <v>88143365.280000016</v>
      </c>
      <c r="H74" s="9">
        <f t="shared" si="6"/>
        <v>881433652.80000007</v>
      </c>
      <c r="I74" s="9">
        <f t="shared" si="7"/>
        <v>28297629.480000004</v>
      </c>
      <c r="J74" s="9">
        <f t="shared" si="8"/>
        <v>140101008.70000002</v>
      </c>
    </row>
    <row r="75" spans="2:10" x14ac:dyDescent="0.3">
      <c r="B75" s="9">
        <v>74</v>
      </c>
      <c r="C75" s="9">
        <v>17027</v>
      </c>
      <c r="D75" s="9">
        <v>170270</v>
      </c>
      <c r="E75" s="9">
        <v>5352</v>
      </c>
      <c r="F75" s="9">
        <v>26760</v>
      </c>
      <c r="G75" s="9">
        <f t="shared" si="5"/>
        <v>95104649.040000007</v>
      </c>
      <c r="H75" s="9">
        <f t="shared" si="6"/>
        <v>951046490.4000001</v>
      </c>
      <c r="I75" s="9">
        <f t="shared" si="7"/>
        <v>29893703.040000003</v>
      </c>
      <c r="J75" s="9">
        <f t="shared" si="8"/>
        <v>148003137.59999999</v>
      </c>
    </row>
    <row r="76" spans="2:10" x14ac:dyDescent="0.3">
      <c r="B76" s="9">
        <v>75</v>
      </c>
      <c r="C76" s="9">
        <v>17879</v>
      </c>
      <c r="D76" s="9">
        <v>178790</v>
      </c>
      <c r="E76" s="9">
        <v>5499</v>
      </c>
      <c r="F76" s="9">
        <v>27495</v>
      </c>
      <c r="G76" s="9">
        <f t="shared" si="5"/>
        <v>102580762.5</v>
      </c>
      <c r="H76" s="9">
        <f t="shared" si="6"/>
        <v>1025807625</v>
      </c>
      <c r="I76" s="9">
        <f t="shared" si="7"/>
        <v>31550512.5</v>
      </c>
      <c r="J76" s="9">
        <f t="shared" si="8"/>
        <v>156205968.75</v>
      </c>
    </row>
    <row r="77" spans="2:10" x14ac:dyDescent="0.3">
      <c r="B77" s="9">
        <v>76</v>
      </c>
      <c r="C77" s="9">
        <v>18773</v>
      </c>
      <c r="D77" s="9">
        <v>187730</v>
      </c>
      <c r="E77" s="9">
        <v>5648</v>
      </c>
      <c r="F77" s="9">
        <v>28240</v>
      </c>
      <c r="G77" s="9">
        <f t="shared" si="5"/>
        <v>110601504.95999999</v>
      </c>
      <c r="H77" s="9">
        <f t="shared" si="6"/>
        <v>1106015049.5999999</v>
      </c>
      <c r="I77" s="9">
        <f t="shared" si="7"/>
        <v>33275304.959999997</v>
      </c>
      <c r="J77" s="9">
        <f t="shared" si="8"/>
        <v>164745382.40000001</v>
      </c>
    </row>
    <row r="78" spans="2:10" x14ac:dyDescent="0.3">
      <c r="B78" s="9">
        <v>77</v>
      </c>
      <c r="C78" s="9">
        <v>19712</v>
      </c>
      <c r="D78" s="9">
        <v>197120</v>
      </c>
      <c r="E78" s="9">
        <v>5799</v>
      </c>
      <c r="F78" s="9">
        <v>28995</v>
      </c>
      <c r="G78" s="9">
        <f t="shared" si="5"/>
        <v>119209896.96000001</v>
      </c>
      <c r="H78" s="9">
        <f t="shared" si="6"/>
        <v>1192098969.6000001</v>
      </c>
      <c r="I78" s="9">
        <f t="shared" si="7"/>
        <v>35069916.420000002</v>
      </c>
      <c r="J78" s="9">
        <f t="shared" si="8"/>
        <v>173630468.54999998</v>
      </c>
    </row>
    <row r="79" spans="2:10" x14ac:dyDescent="0.3">
      <c r="B79" s="9">
        <v>78</v>
      </c>
      <c r="C79" s="9">
        <v>20698</v>
      </c>
      <c r="D79" s="9">
        <v>206980</v>
      </c>
      <c r="E79" s="9">
        <v>5953</v>
      </c>
      <c r="F79" s="9">
        <v>29765</v>
      </c>
      <c r="G79" s="9">
        <f t="shared" si="5"/>
        <v>128445164.64</v>
      </c>
      <c r="H79" s="9">
        <f t="shared" si="6"/>
        <v>1284451646.4000001</v>
      </c>
      <c r="I79" s="9">
        <f t="shared" si="7"/>
        <v>36942413.039999999</v>
      </c>
      <c r="J79" s="9">
        <f t="shared" si="8"/>
        <v>182901162.59999999</v>
      </c>
    </row>
    <row r="80" spans="2:10" x14ac:dyDescent="0.3">
      <c r="B80" s="9">
        <v>79</v>
      </c>
      <c r="C80" s="9">
        <v>21733</v>
      </c>
      <c r="D80" s="9">
        <v>217330</v>
      </c>
      <c r="E80" s="9">
        <v>6108</v>
      </c>
      <c r="F80" s="9">
        <v>30540</v>
      </c>
      <c r="G80" s="9">
        <f t="shared" si="5"/>
        <v>138348366.06</v>
      </c>
      <c r="H80" s="9">
        <f t="shared" si="6"/>
        <v>1383483660.5999999</v>
      </c>
      <c r="I80" s="9">
        <f t="shared" si="7"/>
        <v>38882428.560000002</v>
      </c>
      <c r="J80" s="9">
        <f t="shared" si="8"/>
        <v>192506141.40000001</v>
      </c>
    </row>
    <row r="81" spans="2:10" x14ac:dyDescent="0.3">
      <c r="B81" s="9">
        <v>80</v>
      </c>
      <c r="C81" s="9">
        <v>22820</v>
      </c>
      <c r="D81" s="9">
        <v>228200</v>
      </c>
      <c r="E81" s="9">
        <v>6265</v>
      </c>
      <c r="F81" s="9">
        <v>31325</v>
      </c>
      <c r="G81" s="9">
        <f t="shared" si="5"/>
        <v>148968960</v>
      </c>
      <c r="H81" s="9">
        <f t="shared" si="6"/>
        <v>1489689600</v>
      </c>
      <c r="I81" s="9">
        <f t="shared" si="7"/>
        <v>40897920</v>
      </c>
      <c r="J81" s="9">
        <f t="shared" si="8"/>
        <v>202484800</v>
      </c>
    </row>
    <row r="82" spans="2:10" x14ac:dyDescent="0.3">
      <c r="B82" s="9">
        <v>81</v>
      </c>
      <c r="C82" s="9">
        <v>23961</v>
      </c>
      <c r="D82" s="9">
        <v>239610</v>
      </c>
      <c r="E82" s="9">
        <v>6424</v>
      </c>
      <c r="F82" s="9">
        <v>32120</v>
      </c>
      <c r="G82" s="9">
        <f t="shared" si="5"/>
        <v>160352283.42000002</v>
      </c>
      <c r="H82" s="9">
        <f t="shared" si="6"/>
        <v>1603522834.2</v>
      </c>
      <c r="I82" s="9">
        <f t="shared" si="7"/>
        <v>42990821.280000001</v>
      </c>
      <c r="J82" s="9">
        <f t="shared" si="8"/>
        <v>212846713.20000002</v>
      </c>
    </row>
    <row r="83" spans="2:10" x14ac:dyDescent="0.3">
      <c r="B83" s="9">
        <v>82</v>
      </c>
      <c r="C83" s="9">
        <v>25160</v>
      </c>
      <c r="D83" s="9">
        <v>251600</v>
      </c>
      <c r="E83" s="9">
        <v>6586</v>
      </c>
      <c r="F83" s="9">
        <v>32930</v>
      </c>
      <c r="G83" s="9">
        <f t="shared" si="5"/>
        <v>172559356.80000001</v>
      </c>
      <c r="H83" s="9">
        <f t="shared" si="6"/>
        <v>1725593568</v>
      </c>
      <c r="I83" s="9">
        <f t="shared" si="7"/>
        <v>45169949.280000001</v>
      </c>
      <c r="J83" s="9">
        <f t="shared" si="8"/>
        <v>223635533.20000002</v>
      </c>
    </row>
    <row r="84" spans="2:10" x14ac:dyDescent="0.3">
      <c r="B84" s="9">
        <v>83</v>
      </c>
      <c r="C84" s="9">
        <v>26418</v>
      </c>
      <c r="D84" s="9">
        <v>264180</v>
      </c>
      <c r="E84" s="9">
        <v>6749</v>
      </c>
      <c r="F84" s="9">
        <v>33745</v>
      </c>
      <c r="G84" s="9">
        <f t="shared" si="5"/>
        <v>185633474.03999999</v>
      </c>
      <c r="H84" s="9">
        <f t="shared" si="6"/>
        <v>1856334740.3999999</v>
      </c>
      <c r="I84" s="9">
        <f t="shared" si="7"/>
        <v>47423738.219999999</v>
      </c>
      <c r="J84" s="9">
        <f t="shared" si="8"/>
        <v>234793998.04999998</v>
      </c>
    </row>
    <row r="85" spans="2:10" x14ac:dyDescent="0.3">
      <c r="B85" s="9">
        <v>84</v>
      </c>
      <c r="C85" s="9">
        <v>27739</v>
      </c>
      <c r="D85" s="9">
        <v>277390</v>
      </c>
      <c r="E85" s="9">
        <v>6914</v>
      </c>
      <c r="F85" s="9">
        <v>34570</v>
      </c>
      <c r="G85" s="9">
        <f t="shared" si="5"/>
        <v>199640911.68000001</v>
      </c>
      <c r="H85" s="9">
        <f t="shared" si="6"/>
        <v>1996409116.8000002</v>
      </c>
      <c r="I85" s="9">
        <f t="shared" si="7"/>
        <v>49760887.680000007</v>
      </c>
      <c r="J85" s="9">
        <f t="shared" si="8"/>
        <v>246365179.20000002</v>
      </c>
    </row>
    <row r="86" spans="2:10" x14ac:dyDescent="0.3">
      <c r="B86" s="9">
        <v>85</v>
      </c>
      <c r="C86" s="9">
        <v>29126</v>
      </c>
      <c r="D86" s="9">
        <v>291260</v>
      </c>
      <c r="E86" s="9">
        <v>7082</v>
      </c>
      <c r="F86" s="9">
        <v>35410</v>
      </c>
      <c r="G86" s="9">
        <f t="shared" si="5"/>
        <v>214644057</v>
      </c>
      <c r="H86" s="9">
        <f t="shared" si="6"/>
        <v>2146440570</v>
      </c>
      <c r="I86" s="9">
        <f t="shared" si="7"/>
        <v>52190799</v>
      </c>
      <c r="J86" s="9">
        <f t="shared" si="8"/>
        <v>258395622.49999997</v>
      </c>
    </row>
    <row r="87" spans="2:10" x14ac:dyDescent="0.3">
      <c r="B87" s="9">
        <v>86</v>
      </c>
      <c r="C87" s="9">
        <v>30583</v>
      </c>
      <c r="D87" s="9">
        <v>305830</v>
      </c>
      <c r="E87" s="9">
        <v>7251</v>
      </c>
      <c r="F87" s="9">
        <v>36255</v>
      </c>
      <c r="G87" s="9">
        <f t="shared" si="5"/>
        <v>230715705.35999998</v>
      </c>
      <c r="H87" s="9">
        <f t="shared" si="6"/>
        <v>2307157053.5999999</v>
      </c>
      <c r="I87" s="9">
        <f t="shared" si="7"/>
        <v>54700963.920000002</v>
      </c>
      <c r="J87" s="9">
        <f t="shared" si="8"/>
        <v>270823399.80000001</v>
      </c>
    </row>
    <row r="88" spans="2:10" x14ac:dyDescent="0.3">
      <c r="B88" s="9">
        <v>87</v>
      </c>
      <c r="C88" s="9">
        <v>32113</v>
      </c>
      <c r="D88" s="9">
        <v>321130</v>
      </c>
      <c r="E88" s="9">
        <v>7422</v>
      </c>
      <c r="F88" s="9">
        <v>37110</v>
      </c>
      <c r="G88" s="9">
        <f t="shared" si="5"/>
        <v>247924562.94</v>
      </c>
      <c r="H88" s="9">
        <f t="shared" si="6"/>
        <v>2479245629.4000001</v>
      </c>
      <c r="I88" s="9">
        <f t="shared" si="7"/>
        <v>57300660.359999999</v>
      </c>
      <c r="J88" s="9">
        <f t="shared" si="8"/>
        <v>283694445.90000004</v>
      </c>
    </row>
    <row r="89" spans="2:10" x14ac:dyDescent="0.3">
      <c r="B89" s="9">
        <v>88</v>
      </c>
      <c r="C89" s="9">
        <v>33719</v>
      </c>
      <c r="D89" s="9">
        <v>337190</v>
      </c>
      <c r="E89" s="9">
        <v>7595</v>
      </c>
      <c r="F89" s="9">
        <v>37975</v>
      </c>
      <c r="G89" s="9">
        <f t="shared" si="5"/>
        <v>266342334.72000003</v>
      </c>
      <c r="H89" s="9">
        <f t="shared" si="6"/>
        <v>2663423347.2000003</v>
      </c>
      <c r="I89" s="9">
        <f t="shared" si="7"/>
        <v>59991993.600000001</v>
      </c>
      <c r="J89" s="9">
        <f t="shared" si="8"/>
        <v>297019184</v>
      </c>
    </row>
    <row r="90" spans="2:10" x14ac:dyDescent="0.3">
      <c r="B90" s="9">
        <v>89</v>
      </c>
      <c r="C90" s="9">
        <v>35405</v>
      </c>
      <c r="D90" s="9">
        <v>354050</v>
      </c>
      <c r="E90" s="9">
        <v>7771</v>
      </c>
      <c r="F90" s="9">
        <v>38855</v>
      </c>
      <c r="G90" s="9">
        <f t="shared" si="5"/>
        <v>286051865.10000002</v>
      </c>
      <c r="H90" s="9">
        <f t="shared" si="6"/>
        <v>2860518651</v>
      </c>
      <c r="I90" s="9">
        <f t="shared" si="7"/>
        <v>62785172.82</v>
      </c>
      <c r="J90" s="9">
        <f t="shared" si="8"/>
        <v>310848159.55000001</v>
      </c>
    </row>
    <row r="91" spans="2:10" x14ac:dyDescent="0.3">
      <c r="B91" s="9">
        <v>90</v>
      </c>
      <c r="C91" s="9">
        <v>37176</v>
      </c>
      <c r="D91" s="9">
        <v>371760</v>
      </c>
      <c r="E91" s="9">
        <v>7948</v>
      </c>
      <c r="F91" s="9">
        <v>39740</v>
      </c>
      <c r="G91" s="9">
        <f t="shared" si="5"/>
        <v>307148112</v>
      </c>
      <c r="H91" s="9">
        <f t="shared" si="6"/>
        <v>3071481120</v>
      </c>
      <c r="I91" s="9">
        <f t="shared" si="7"/>
        <v>65666376</v>
      </c>
      <c r="J91" s="9">
        <f t="shared" si="8"/>
        <v>325112940</v>
      </c>
    </row>
    <row r="92" spans="2:10" x14ac:dyDescent="0.3">
      <c r="B92" s="9">
        <v>91</v>
      </c>
      <c r="C92" s="9">
        <v>39035</v>
      </c>
      <c r="D92" s="9">
        <v>390350</v>
      </c>
      <c r="E92" s="9">
        <v>8127</v>
      </c>
      <c r="F92" s="9">
        <v>40635</v>
      </c>
      <c r="G92" s="9">
        <f t="shared" si="5"/>
        <v>329713811.70000005</v>
      </c>
      <c r="H92" s="9">
        <f t="shared" si="6"/>
        <v>3297138117.0000005</v>
      </c>
      <c r="I92" s="9">
        <f t="shared" si="7"/>
        <v>68645680.74000001</v>
      </c>
      <c r="J92" s="9">
        <f t="shared" si="8"/>
        <v>339863419.34999996</v>
      </c>
    </row>
    <row r="93" spans="2:10" x14ac:dyDescent="0.3">
      <c r="B93" s="9">
        <v>92</v>
      </c>
      <c r="C93" s="9">
        <v>40987</v>
      </c>
      <c r="D93" s="9">
        <v>409870</v>
      </c>
      <c r="E93" s="9">
        <v>8309</v>
      </c>
      <c r="F93" s="9">
        <v>41545</v>
      </c>
      <c r="G93" s="9">
        <f t="shared" si="5"/>
        <v>353852247.36000001</v>
      </c>
      <c r="H93" s="9">
        <f t="shared" si="6"/>
        <v>3538522473.5999999</v>
      </c>
      <c r="I93" s="9">
        <f t="shared" si="7"/>
        <v>71733923.519999996</v>
      </c>
      <c r="J93" s="9">
        <f t="shared" si="8"/>
        <v>355153248.80000001</v>
      </c>
    </row>
    <row r="94" spans="2:10" x14ac:dyDescent="0.3">
      <c r="B94" s="9">
        <v>93</v>
      </c>
      <c r="C94" s="9">
        <v>43037</v>
      </c>
      <c r="D94" s="9">
        <v>430370</v>
      </c>
      <c r="E94" s="9">
        <v>8492</v>
      </c>
      <c r="F94" s="9">
        <v>42460</v>
      </c>
      <c r="G94" s="9">
        <f t="shared" si="5"/>
        <v>379671553.25999999</v>
      </c>
      <c r="H94" s="9">
        <f t="shared" si="6"/>
        <v>3796715532.5999999</v>
      </c>
      <c r="I94" s="9">
        <f t="shared" si="7"/>
        <v>74916254.159999996</v>
      </c>
      <c r="J94" s="9">
        <f t="shared" si="8"/>
        <v>370908905.40000004</v>
      </c>
    </row>
    <row r="95" spans="2:10" x14ac:dyDescent="0.3">
      <c r="B95" s="9">
        <v>94</v>
      </c>
      <c r="C95" s="9">
        <v>45189</v>
      </c>
      <c r="D95" s="9">
        <v>451890</v>
      </c>
      <c r="E95" s="9">
        <v>8677</v>
      </c>
      <c r="F95" s="9">
        <v>43385</v>
      </c>
      <c r="G95" s="9">
        <f t="shared" si="5"/>
        <v>407275804.07999998</v>
      </c>
      <c r="H95" s="9">
        <f t="shared" si="6"/>
        <v>4072758040.7999997</v>
      </c>
      <c r="I95" s="9">
        <f t="shared" si="7"/>
        <v>78203371.439999998</v>
      </c>
      <c r="J95" s="9">
        <f t="shared" si="8"/>
        <v>387183358.59999996</v>
      </c>
    </row>
    <row r="96" spans="2:10" x14ac:dyDescent="0.3">
      <c r="B96" s="9">
        <v>95</v>
      </c>
      <c r="C96" s="9">
        <v>47449</v>
      </c>
      <c r="D96" s="9">
        <v>474490</v>
      </c>
      <c r="E96" s="9">
        <v>8864</v>
      </c>
      <c r="F96" s="9">
        <v>44320</v>
      </c>
      <c r="G96" s="9">
        <f t="shared" si="5"/>
        <v>436791769.5</v>
      </c>
      <c r="H96" s="9">
        <f t="shared" si="6"/>
        <v>4367917695</v>
      </c>
      <c r="I96" s="9">
        <f t="shared" si="7"/>
        <v>81597552</v>
      </c>
      <c r="J96" s="9">
        <f t="shared" si="8"/>
        <v>403987880</v>
      </c>
    </row>
    <row r="97" spans="2:10" x14ac:dyDescent="0.3">
      <c r="B97" s="9">
        <v>96</v>
      </c>
      <c r="C97" s="9">
        <v>49822</v>
      </c>
      <c r="D97" s="9">
        <v>498220</v>
      </c>
      <c r="E97" s="9">
        <v>9054</v>
      </c>
      <c r="F97" s="9">
        <v>45270</v>
      </c>
      <c r="G97" s="9">
        <f t="shared" si="5"/>
        <v>468342743.04000002</v>
      </c>
      <c r="H97" s="9">
        <f t="shared" si="6"/>
        <v>4683427430.3999996</v>
      </c>
      <c r="I97" s="9">
        <f t="shared" si="7"/>
        <v>85110497.280000001</v>
      </c>
      <c r="J97" s="9">
        <f t="shared" si="8"/>
        <v>421380403.20000005</v>
      </c>
    </row>
    <row r="98" spans="2:10" x14ac:dyDescent="0.3">
      <c r="B98" s="9">
        <v>97</v>
      </c>
      <c r="C98" s="9">
        <v>52314</v>
      </c>
      <c r="D98" s="9">
        <v>523140</v>
      </c>
      <c r="E98" s="9">
        <v>9245</v>
      </c>
      <c r="F98" s="9">
        <v>46225</v>
      </c>
      <c r="G98" s="9">
        <f t="shared" si="5"/>
        <v>502066874.51999998</v>
      </c>
      <c r="H98" s="9">
        <f t="shared" si="6"/>
        <v>5020668745.1999998</v>
      </c>
      <c r="I98" s="9">
        <f t="shared" si="7"/>
        <v>88725929.099999994</v>
      </c>
      <c r="J98" s="9">
        <f t="shared" si="8"/>
        <v>439280335.25</v>
      </c>
    </row>
    <row r="99" spans="2:10" x14ac:dyDescent="0.3">
      <c r="B99" s="9">
        <v>98</v>
      </c>
      <c r="C99" s="9">
        <v>54930</v>
      </c>
      <c r="D99" s="9">
        <v>549300</v>
      </c>
      <c r="E99" s="9">
        <v>9438</v>
      </c>
      <c r="F99" s="9">
        <v>47190</v>
      </c>
      <c r="G99" s="9">
        <f t="shared" si="5"/>
        <v>538098674.4000001</v>
      </c>
      <c r="H99" s="9">
        <f t="shared" si="6"/>
        <v>5380986744</v>
      </c>
      <c r="I99" s="9">
        <f t="shared" si="7"/>
        <v>92455403.040000007</v>
      </c>
      <c r="J99" s="9">
        <f t="shared" si="8"/>
        <v>457744887.60000002</v>
      </c>
    </row>
    <row r="100" spans="2:10" x14ac:dyDescent="0.3">
      <c r="B100" s="9">
        <v>99</v>
      </c>
      <c r="C100" s="9">
        <v>57677</v>
      </c>
      <c r="D100" s="9">
        <v>576770</v>
      </c>
      <c r="E100" s="9">
        <v>9634</v>
      </c>
      <c r="F100" s="9">
        <v>48170</v>
      </c>
      <c r="G100" s="9">
        <f t="shared" si="5"/>
        <v>576598122.54000008</v>
      </c>
      <c r="H100" s="9">
        <f t="shared" si="6"/>
        <v>5765981225.4000006</v>
      </c>
      <c r="I100" s="9">
        <f t="shared" si="7"/>
        <v>96311290.680000007</v>
      </c>
      <c r="J100" s="9">
        <f t="shared" si="8"/>
        <v>476835311.69999999</v>
      </c>
    </row>
    <row r="101" spans="2:10" x14ac:dyDescent="0.3">
      <c r="B101" s="9">
        <v>100</v>
      </c>
      <c r="C101" s="9">
        <v>60561</v>
      </c>
      <c r="D101" s="9">
        <v>605610</v>
      </c>
      <c r="E101" s="9">
        <v>9831</v>
      </c>
      <c r="F101" s="9">
        <v>49155</v>
      </c>
      <c r="G101" s="9">
        <f t="shared" si="5"/>
        <v>617722200</v>
      </c>
      <c r="H101" s="9">
        <f t="shared" si="6"/>
        <v>6177222000</v>
      </c>
      <c r="I101" s="9">
        <f t="shared" si="7"/>
        <v>100276200</v>
      </c>
      <c r="J101" s="9">
        <f t="shared" si="8"/>
        <v>496465500</v>
      </c>
    </row>
    <row r="102" spans="2:10" x14ac:dyDescent="0.3">
      <c r="B102" s="9">
        <v>101</v>
      </c>
      <c r="C102" s="9">
        <v>63590</v>
      </c>
      <c r="D102" s="9">
        <v>635900</v>
      </c>
      <c r="E102" s="9">
        <v>10030</v>
      </c>
      <c r="F102" s="9">
        <v>50150</v>
      </c>
      <c r="G102" s="9">
        <f t="shared" si="5"/>
        <v>661655221.79999995</v>
      </c>
      <c r="H102" s="9">
        <f t="shared" si="6"/>
        <v>6616552218</v>
      </c>
      <c r="I102" s="9">
        <f t="shared" si="7"/>
        <v>104362350.59999999</v>
      </c>
      <c r="J102" s="9">
        <f t="shared" si="8"/>
        <v>516695951.5</v>
      </c>
    </row>
    <row r="103" spans="2:10" x14ac:dyDescent="0.3">
      <c r="B103" s="9">
        <v>102</v>
      </c>
      <c r="C103" s="9">
        <v>66134</v>
      </c>
      <c r="D103" s="9">
        <v>661340</v>
      </c>
      <c r="E103" s="9">
        <v>10232</v>
      </c>
      <c r="F103" s="9">
        <v>51160</v>
      </c>
      <c r="G103" s="9">
        <f t="shared" si="5"/>
        <v>701819298.72000003</v>
      </c>
      <c r="H103" s="9">
        <f t="shared" si="6"/>
        <v>7018192987.2000008</v>
      </c>
      <c r="I103" s="9">
        <f t="shared" si="7"/>
        <v>108582802.56</v>
      </c>
      <c r="J103" s="9">
        <f t="shared" si="8"/>
        <v>537591326.39999998</v>
      </c>
    </row>
    <row r="104" spans="2:10" x14ac:dyDescent="0.3">
      <c r="B104" s="9">
        <v>103</v>
      </c>
      <c r="C104" s="9">
        <v>68780</v>
      </c>
      <c r="D104" s="9">
        <v>687800</v>
      </c>
      <c r="E104" s="9">
        <v>10435</v>
      </c>
      <c r="F104" s="9">
        <v>52175</v>
      </c>
      <c r="G104" s="9">
        <f t="shared" si="5"/>
        <v>744280760.39999998</v>
      </c>
      <c r="H104" s="9">
        <f t="shared" si="6"/>
        <v>7442807604</v>
      </c>
      <c r="I104" s="9">
        <f t="shared" si="7"/>
        <v>112919013.3</v>
      </c>
      <c r="J104" s="9">
        <f t="shared" si="8"/>
        <v>559059820.75</v>
      </c>
    </row>
    <row r="105" spans="2:10" x14ac:dyDescent="0.3">
      <c r="B105" s="9">
        <v>104</v>
      </c>
      <c r="C105" s="9">
        <v>71532</v>
      </c>
      <c r="D105" s="9">
        <v>715320</v>
      </c>
      <c r="E105" s="9">
        <v>10640</v>
      </c>
      <c r="F105" s="9">
        <v>53200</v>
      </c>
      <c r="G105" s="9">
        <f t="shared" si="5"/>
        <v>789163914.24000001</v>
      </c>
      <c r="H105" s="9">
        <f t="shared" si="6"/>
        <v>7891639142.3999996</v>
      </c>
      <c r="I105" s="9">
        <f t="shared" si="7"/>
        <v>117383884.8</v>
      </c>
      <c r="J105" s="9">
        <f t="shared" si="8"/>
        <v>581165312</v>
      </c>
    </row>
    <row r="106" spans="2:10" x14ac:dyDescent="0.3">
      <c r="B106" s="9">
        <v>105</v>
      </c>
      <c r="C106" s="9">
        <v>74394</v>
      </c>
      <c r="D106" s="9">
        <v>743940</v>
      </c>
      <c r="E106" s="9">
        <v>10848</v>
      </c>
      <c r="F106" s="9">
        <v>54240</v>
      </c>
      <c r="G106" s="9">
        <f t="shared" si="5"/>
        <v>836597727.00000012</v>
      </c>
      <c r="H106" s="9">
        <f t="shared" si="6"/>
        <v>8365977270.000001</v>
      </c>
      <c r="I106" s="9">
        <f t="shared" si="7"/>
        <v>121991184.00000001</v>
      </c>
      <c r="J106" s="9">
        <f t="shared" si="8"/>
        <v>603975960</v>
      </c>
    </row>
    <row r="107" spans="2:10" x14ac:dyDescent="0.3">
      <c r="B107" s="9">
        <v>106</v>
      </c>
      <c r="C107" s="9">
        <v>77370</v>
      </c>
      <c r="D107" s="9">
        <v>773700</v>
      </c>
      <c r="E107" s="9">
        <v>11057</v>
      </c>
      <c r="F107" s="9">
        <v>55285</v>
      </c>
      <c r="G107" s="9">
        <f t="shared" si="5"/>
        <v>886715906.4000001</v>
      </c>
      <c r="H107" s="9">
        <f t="shared" si="6"/>
        <v>8867159064</v>
      </c>
      <c r="I107" s="9">
        <f t="shared" si="7"/>
        <v>126721181.04000001</v>
      </c>
      <c r="J107" s="9">
        <f t="shared" si="8"/>
        <v>627394082.60000002</v>
      </c>
    </row>
    <row r="108" spans="2:10" x14ac:dyDescent="0.3">
      <c r="B108" s="9">
        <v>107</v>
      </c>
      <c r="C108" s="9">
        <v>80465</v>
      </c>
      <c r="D108" s="9">
        <v>804650</v>
      </c>
      <c r="E108" s="9">
        <v>11268</v>
      </c>
      <c r="F108" s="9">
        <v>56340</v>
      </c>
      <c r="G108" s="9">
        <f t="shared" si="5"/>
        <v>939668660.70000005</v>
      </c>
      <c r="H108" s="9">
        <f t="shared" si="6"/>
        <v>9396686607</v>
      </c>
      <c r="I108" s="9">
        <f t="shared" si="7"/>
        <v>131587478.64</v>
      </c>
      <c r="J108" s="9">
        <f t="shared" si="8"/>
        <v>651487026.60000002</v>
      </c>
    </row>
    <row r="109" spans="2:10" x14ac:dyDescent="0.3">
      <c r="B109" s="9">
        <v>108</v>
      </c>
      <c r="C109" s="9">
        <v>83684</v>
      </c>
      <c r="D109" s="9">
        <v>836840</v>
      </c>
      <c r="E109" s="9">
        <v>11482</v>
      </c>
      <c r="F109" s="9">
        <v>57410</v>
      </c>
      <c r="G109" s="9">
        <f t="shared" si="5"/>
        <v>995611979.51999998</v>
      </c>
      <c r="H109" s="9">
        <f t="shared" si="6"/>
        <v>9956119795.1999989</v>
      </c>
      <c r="I109" s="9">
        <f t="shared" si="7"/>
        <v>136604568.96000001</v>
      </c>
      <c r="J109" s="9">
        <f t="shared" si="8"/>
        <v>676326542.39999998</v>
      </c>
    </row>
    <row r="110" spans="2:10" x14ac:dyDescent="0.3">
      <c r="B110" s="9">
        <v>109</v>
      </c>
      <c r="C110" s="9">
        <v>87032</v>
      </c>
      <c r="D110" s="9">
        <v>870320</v>
      </c>
      <c r="E110" s="9">
        <v>11697</v>
      </c>
      <c r="F110" s="9">
        <v>58485</v>
      </c>
      <c r="G110" s="9">
        <f t="shared" si="5"/>
        <v>1054707735.84</v>
      </c>
      <c r="H110" s="9">
        <f t="shared" si="6"/>
        <v>10547077358.400002</v>
      </c>
      <c r="I110" s="9">
        <f t="shared" si="7"/>
        <v>141751498.14000002</v>
      </c>
      <c r="J110" s="9">
        <f t="shared" si="8"/>
        <v>701808887.85000002</v>
      </c>
    </row>
    <row r="111" spans="2:10" x14ac:dyDescent="0.3">
      <c r="B111" s="9">
        <v>110</v>
      </c>
      <c r="C111" s="9">
        <v>90514</v>
      </c>
      <c r="D111" s="9">
        <v>905140</v>
      </c>
      <c r="E111" s="9">
        <v>11914</v>
      </c>
      <c r="F111" s="9">
        <v>59570</v>
      </c>
      <c r="G111" s="9">
        <f t="shared" si="5"/>
        <v>1117123788</v>
      </c>
      <c r="H111" s="9">
        <f t="shared" si="6"/>
        <v>11171237880</v>
      </c>
      <c r="I111" s="9">
        <f t="shared" si="7"/>
        <v>147042588</v>
      </c>
      <c r="J111" s="9">
        <f t="shared" si="8"/>
        <v>728004970</v>
      </c>
    </row>
    <row r="112" spans="2:10" x14ac:dyDescent="0.3">
      <c r="B112" s="9">
        <v>111</v>
      </c>
      <c r="C112" s="9">
        <v>94135</v>
      </c>
      <c r="D112" s="9">
        <v>941350</v>
      </c>
      <c r="E112" s="9">
        <v>12134</v>
      </c>
      <c r="F112" s="9">
        <v>60670</v>
      </c>
      <c r="G112" s="9">
        <f t="shared" si="5"/>
        <v>1183034081.7</v>
      </c>
      <c r="H112" s="9">
        <f t="shared" si="6"/>
        <v>11830340817</v>
      </c>
      <c r="I112" s="9">
        <f t="shared" si="7"/>
        <v>152493074.28</v>
      </c>
      <c r="J112" s="9">
        <f t="shared" si="8"/>
        <v>754990220.70000005</v>
      </c>
    </row>
    <row r="113" spans="2:10" x14ac:dyDescent="0.3">
      <c r="B113" s="9">
        <v>112</v>
      </c>
      <c r="C113" s="9">
        <v>97901</v>
      </c>
      <c r="D113" s="9">
        <v>979010</v>
      </c>
      <c r="E113" s="9">
        <v>12355</v>
      </c>
      <c r="F113" s="9">
        <v>61775</v>
      </c>
      <c r="G113" s="9">
        <f t="shared" si="5"/>
        <v>1252631546.8800001</v>
      </c>
      <c r="H113" s="9">
        <f t="shared" si="6"/>
        <v>12526315468.800001</v>
      </c>
      <c r="I113" s="9">
        <f t="shared" si="7"/>
        <v>158080742.40000001</v>
      </c>
      <c r="J113" s="9">
        <f t="shared" si="8"/>
        <v>782654656</v>
      </c>
    </row>
    <row r="114" spans="2:10" x14ac:dyDescent="0.3">
      <c r="B114" s="9">
        <v>113</v>
      </c>
      <c r="C114" s="9">
        <v>101818</v>
      </c>
      <c r="D114" s="9">
        <v>1018180</v>
      </c>
      <c r="E114" s="9">
        <v>12579</v>
      </c>
      <c r="F114" s="9">
        <v>62895</v>
      </c>
      <c r="G114" s="9">
        <f t="shared" si="5"/>
        <v>1326116322.8400002</v>
      </c>
      <c r="H114" s="9">
        <f t="shared" si="6"/>
        <v>13261163228.400002</v>
      </c>
      <c r="I114" s="9">
        <f t="shared" si="7"/>
        <v>163833676.02000001</v>
      </c>
      <c r="J114" s="9">
        <f t="shared" si="8"/>
        <v>811137317.54999995</v>
      </c>
    </row>
    <row r="115" spans="2:10" x14ac:dyDescent="0.3">
      <c r="B115" s="9">
        <v>114</v>
      </c>
      <c r="C115" s="9">
        <v>105891</v>
      </c>
      <c r="D115" s="9">
        <v>1058910</v>
      </c>
      <c r="E115" s="9">
        <v>12804</v>
      </c>
      <c r="F115" s="9">
        <v>64020</v>
      </c>
      <c r="G115" s="9">
        <f t="shared" si="5"/>
        <v>1403682624.72</v>
      </c>
      <c r="H115" s="9">
        <f t="shared" si="6"/>
        <v>14036826247.200001</v>
      </c>
      <c r="I115" s="9">
        <f t="shared" si="7"/>
        <v>169728799.68000001</v>
      </c>
      <c r="J115" s="9">
        <f t="shared" si="8"/>
        <v>840323959.20000005</v>
      </c>
    </row>
    <row r="116" spans="2:10" x14ac:dyDescent="0.3">
      <c r="B116" s="9">
        <v>115</v>
      </c>
      <c r="C116" s="9">
        <v>110127</v>
      </c>
      <c r="D116" s="9">
        <v>1101270</v>
      </c>
      <c r="E116" s="9">
        <v>13031</v>
      </c>
      <c r="F116" s="9">
        <v>65155</v>
      </c>
      <c r="G116" s="9">
        <f t="shared" si="5"/>
        <v>1485558166.5</v>
      </c>
      <c r="H116" s="9">
        <f t="shared" si="6"/>
        <v>14855581665</v>
      </c>
      <c r="I116" s="9">
        <f t="shared" si="7"/>
        <v>175781674.5</v>
      </c>
      <c r="J116" s="9">
        <f t="shared" si="8"/>
        <v>870291623.75</v>
      </c>
    </row>
    <row r="117" spans="2:10" x14ac:dyDescent="0.3">
      <c r="B117" s="9">
        <v>116</v>
      </c>
      <c r="C117" s="9">
        <v>114533</v>
      </c>
      <c r="D117" s="9">
        <v>1145330</v>
      </c>
      <c r="E117" s="9">
        <v>13261</v>
      </c>
      <c r="F117" s="9">
        <v>66305</v>
      </c>
      <c r="G117" s="9">
        <f t="shared" si="5"/>
        <v>1571979168.96</v>
      </c>
      <c r="H117" s="9">
        <f t="shared" si="6"/>
        <v>15719791689.6</v>
      </c>
      <c r="I117" s="9">
        <f t="shared" si="7"/>
        <v>182008816.32000002</v>
      </c>
      <c r="J117" s="9">
        <f t="shared" si="8"/>
        <v>901122080.79999995</v>
      </c>
    </row>
    <row r="118" spans="2:10" x14ac:dyDescent="0.3">
      <c r="B118" s="9">
        <v>117</v>
      </c>
      <c r="C118" s="9">
        <v>119115</v>
      </c>
      <c r="D118" s="9">
        <v>1191150</v>
      </c>
      <c r="E118" s="9">
        <v>13492</v>
      </c>
      <c r="F118" s="9">
        <v>67460</v>
      </c>
      <c r="G118" s="9">
        <f t="shared" si="5"/>
        <v>1663176539.7</v>
      </c>
      <c r="H118" s="9">
        <f t="shared" si="6"/>
        <v>16631765397</v>
      </c>
      <c r="I118" s="9">
        <f t="shared" si="7"/>
        <v>188385827.76000002</v>
      </c>
      <c r="J118" s="9">
        <f t="shared" si="8"/>
        <v>932694539.39999998</v>
      </c>
    </row>
    <row r="119" spans="2:10" x14ac:dyDescent="0.3">
      <c r="B119" s="9">
        <v>118</v>
      </c>
      <c r="C119" s="9">
        <v>123880</v>
      </c>
      <c r="D119" s="9">
        <v>1238800</v>
      </c>
      <c r="E119" s="9">
        <v>13725</v>
      </c>
      <c r="F119" s="9">
        <v>68625</v>
      </c>
      <c r="G119" s="9">
        <f t="shared" si="5"/>
        <v>1759403222.4000001</v>
      </c>
      <c r="H119" s="9">
        <f t="shared" si="6"/>
        <v>17594032224</v>
      </c>
      <c r="I119" s="9">
        <f t="shared" si="7"/>
        <v>194929038</v>
      </c>
      <c r="J119" s="9">
        <f t="shared" si="8"/>
        <v>965089845</v>
      </c>
    </row>
    <row r="120" spans="2:10" x14ac:dyDescent="0.3">
      <c r="B120" s="9">
        <v>119</v>
      </c>
      <c r="C120" s="9">
        <v>128836</v>
      </c>
      <c r="D120" s="9">
        <v>1288360</v>
      </c>
      <c r="E120" s="9">
        <v>13961</v>
      </c>
      <c r="F120" s="9">
        <v>69805</v>
      </c>
      <c r="G120" s="9">
        <f t="shared" si="5"/>
        <v>1860935527.9199998</v>
      </c>
      <c r="H120" s="9">
        <f t="shared" si="6"/>
        <v>18609355279.200001</v>
      </c>
      <c r="I120" s="9">
        <f t="shared" si="7"/>
        <v>201655755.41999999</v>
      </c>
      <c r="J120" s="9">
        <f t="shared" si="8"/>
        <v>998393691.04999995</v>
      </c>
    </row>
    <row r="121" spans="2:10" x14ac:dyDescent="0.3">
      <c r="B121" s="9">
        <v>120</v>
      </c>
      <c r="C121" s="9">
        <v>133990</v>
      </c>
      <c r="D121" s="9">
        <v>1339900</v>
      </c>
      <c r="E121" s="9">
        <v>14198</v>
      </c>
      <c r="F121" s="9">
        <v>70990</v>
      </c>
      <c r="G121" s="9">
        <f t="shared" si="5"/>
        <v>1968045120</v>
      </c>
      <c r="H121" s="9">
        <f t="shared" si="6"/>
        <v>19680451200</v>
      </c>
      <c r="I121" s="9">
        <f t="shared" si="7"/>
        <v>208540224</v>
      </c>
      <c r="J121" s="9">
        <f t="shared" si="8"/>
        <v>1032478560</v>
      </c>
    </row>
    <row r="122" spans="2:10" x14ac:dyDescent="0.3">
      <c r="B122" s="9">
        <v>121</v>
      </c>
      <c r="C122" s="9">
        <v>139350</v>
      </c>
      <c r="D122" s="9">
        <v>1393500</v>
      </c>
      <c r="E122" s="9">
        <v>14438</v>
      </c>
      <c r="F122" s="9">
        <v>72190</v>
      </c>
      <c r="G122" s="9">
        <f t="shared" si="5"/>
        <v>2081027817</v>
      </c>
      <c r="H122" s="9">
        <f t="shared" si="6"/>
        <v>20810278170</v>
      </c>
      <c r="I122" s="9">
        <f t="shared" si="7"/>
        <v>215614493.16</v>
      </c>
      <c r="J122" s="9">
        <f t="shared" si="8"/>
        <v>1067503127.9000001</v>
      </c>
    </row>
    <row r="123" spans="2:10" x14ac:dyDescent="0.3">
      <c r="B123" s="9">
        <v>122</v>
      </c>
      <c r="C123" s="9">
        <v>144924</v>
      </c>
      <c r="D123" s="9">
        <v>1449240</v>
      </c>
      <c r="E123" s="9">
        <v>14679</v>
      </c>
      <c r="F123" s="9">
        <v>73395</v>
      </c>
      <c r="G123" s="9">
        <f t="shared" si="5"/>
        <v>2200189792.3200002</v>
      </c>
      <c r="H123" s="9">
        <f t="shared" si="6"/>
        <v>22001897923.200001</v>
      </c>
      <c r="I123" s="9">
        <f t="shared" si="7"/>
        <v>222851880.72</v>
      </c>
      <c r="J123" s="9">
        <f t="shared" si="8"/>
        <v>1103335291.8</v>
      </c>
    </row>
    <row r="124" spans="2:10" x14ac:dyDescent="0.3">
      <c r="B124" s="9">
        <v>123</v>
      </c>
      <c r="C124" s="9">
        <v>150721</v>
      </c>
      <c r="D124" s="9">
        <v>1507210</v>
      </c>
      <c r="E124" s="9">
        <v>14922</v>
      </c>
      <c r="F124" s="9">
        <v>74610</v>
      </c>
      <c r="G124" s="9">
        <f t="shared" si="5"/>
        <v>2325863169.1800003</v>
      </c>
      <c r="H124" s="9">
        <f t="shared" si="6"/>
        <v>23258631691.800003</v>
      </c>
      <c r="I124" s="9">
        <f t="shared" si="7"/>
        <v>230270036.76000002</v>
      </c>
      <c r="J124" s="9">
        <f t="shared" si="8"/>
        <v>1140062436.9000001</v>
      </c>
    </row>
    <row r="125" spans="2:10" x14ac:dyDescent="0.3">
      <c r="B125" s="9">
        <v>124</v>
      </c>
      <c r="C125" s="9">
        <v>156750</v>
      </c>
      <c r="D125" s="9">
        <v>1567500</v>
      </c>
      <c r="E125" s="9">
        <v>15168</v>
      </c>
      <c r="F125" s="9">
        <v>75840</v>
      </c>
      <c r="G125" s="9">
        <f t="shared" si="5"/>
        <v>2458391760</v>
      </c>
      <c r="H125" s="9">
        <f t="shared" si="6"/>
        <v>24583917600</v>
      </c>
      <c r="I125" s="9">
        <f t="shared" si="7"/>
        <v>237887631.36000001</v>
      </c>
      <c r="J125" s="9">
        <f t="shared" si="8"/>
        <v>1177776998.3999999</v>
      </c>
    </row>
    <row r="126" spans="2:10" x14ac:dyDescent="0.3">
      <c r="B126" s="9">
        <v>125</v>
      </c>
      <c r="C126" s="9">
        <v>163020</v>
      </c>
      <c r="D126" s="9">
        <v>1630200</v>
      </c>
      <c r="E126" s="9">
        <v>15415</v>
      </c>
      <c r="F126" s="9">
        <v>77075</v>
      </c>
      <c r="G126" s="9">
        <f t="shared" si="5"/>
        <v>2598131250</v>
      </c>
      <c r="H126" s="9">
        <f t="shared" si="6"/>
        <v>25981312500</v>
      </c>
      <c r="I126" s="9">
        <f t="shared" si="7"/>
        <v>245676562.5</v>
      </c>
      <c r="J126" s="9">
        <f t="shared" si="8"/>
        <v>1216339843.75</v>
      </c>
    </row>
    <row r="127" spans="2:10" x14ac:dyDescent="0.3">
      <c r="B127" s="9">
        <v>126</v>
      </c>
      <c r="C127" s="9">
        <v>169541</v>
      </c>
      <c r="D127" s="9">
        <v>1695410</v>
      </c>
      <c r="E127" s="9">
        <v>15665</v>
      </c>
      <c r="F127" s="9">
        <v>78325</v>
      </c>
      <c r="G127" s="9">
        <f t="shared" si="5"/>
        <v>2745465574.3200002</v>
      </c>
      <c r="H127" s="9">
        <f t="shared" si="6"/>
        <v>27454655743.200001</v>
      </c>
      <c r="I127" s="9">
        <f t="shared" si="7"/>
        <v>253671490.80000001</v>
      </c>
      <c r="J127" s="9">
        <f t="shared" si="8"/>
        <v>1255922577</v>
      </c>
    </row>
    <row r="128" spans="2:10" x14ac:dyDescent="0.3">
      <c r="B128" s="9">
        <v>127</v>
      </c>
      <c r="C128" s="9">
        <v>176323</v>
      </c>
      <c r="D128" s="9">
        <v>1763230</v>
      </c>
      <c r="E128" s="9">
        <v>15916</v>
      </c>
      <c r="F128" s="9">
        <v>79580</v>
      </c>
      <c r="G128" s="9">
        <f t="shared" si="5"/>
        <v>2900791940.3399997</v>
      </c>
      <c r="H128" s="9">
        <f t="shared" si="6"/>
        <v>29007919403.399998</v>
      </c>
      <c r="I128" s="9">
        <f t="shared" si="7"/>
        <v>261843347.27999997</v>
      </c>
      <c r="J128" s="9">
        <f t="shared" si="8"/>
        <v>1296381278.2</v>
      </c>
    </row>
    <row r="129" spans="2:10" x14ac:dyDescent="0.3">
      <c r="B129" s="9">
        <v>128</v>
      </c>
      <c r="C129" s="9">
        <v>183376</v>
      </c>
      <c r="D129" s="9">
        <v>1833760</v>
      </c>
      <c r="E129" s="9">
        <v>16170</v>
      </c>
      <c r="F129" s="9">
        <v>80850</v>
      </c>
      <c r="G129" s="9">
        <f t="shared" si="5"/>
        <v>3064521031.6799998</v>
      </c>
      <c r="H129" s="9">
        <f t="shared" si="6"/>
        <v>30645210316.799999</v>
      </c>
      <c r="I129" s="9">
        <f t="shared" si="7"/>
        <v>270227865.60000002</v>
      </c>
      <c r="J129" s="9">
        <f t="shared" si="8"/>
        <v>1337892864</v>
      </c>
    </row>
    <row r="130" spans="2:10" x14ac:dyDescent="0.3">
      <c r="B130" s="9">
        <v>129</v>
      </c>
      <c r="C130" s="9">
        <v>190712</v>
      </c>
      <c r="D130" s="9">
        <v>1907120</v>
      </c>
      <c r="E130" s="9">
        <v>16425</v>
      </c>
      <c r="F130" s="9">
        <v>82125</v>
      </c>
      <c r="G130" s="9">
        <f t="shared" si="5"/>
        <v>3237111159.8400002</v>
      </c>
      <c r="H130" s="9">
        <f t="shared" si="6"/>
        <v>32371111598.400002</v>
      </c>
      <c r="I130" s="9">
        <f t="shared" si="7"/>
        <v>278794993.5</v>
      </c>
      <c r="J130" s="9">
        <f t="shared" si="8"/>
        <v>1380308546.25</v>
      </c>
    </row>
    <row r="131" spans="2:10" x14ac:dyDescent="0.3">
      <c r="B131" s="9">
        <v>130</v>
      </c>
      <c r="C131" s="9">
        <v>198341</v>
      </c>
      <c r="D131" s="9">
        <v>1983410</v>
      </c>
      <c r="E131" s="9">
        <v>16683</v>
      </c>
      <c r="F131" s="9">
        <v>83415</v>
      </c>
      <c r="G131" s="9">
        <f t="shared" si="5"/>
        <v>3419002158</v>
      </c>
      <c r="H131" s="9">
        <f t="shared" si="6"/>
        <v>34190021580</v>
      </c>
      <c r="I131" s="9">
        <f t="shared" si="7"/>
        <v>287581554</v>
      </c>
      <c r="J131" s="9">
        <f t="shared" si="8"/>
        <v>1423810635.0000002</v>
      </c>
    </row>
    <row r="132" spans="2:10" x14ac:dyDescent="0.3">
      <c r="B132" s="9">
        <v>131</v>
      </c>
      <c r="C132" s="9">
        <v>206275</v>
      </c>
      <c r="D132" s="9">
        <v>2062750</v>
      </c>
      <c r="E132" s="9">
        <v>16942</v>
      </c>
      <c r="F132" s="9">
        <v>84710</v>
      </c>
      <c r="G132" s="9">
        <f t="shared" ref="G132:G195" si="9">C132*$B132*($B132*1.02)</f>
        <v>3610682980.5</v>
      </c>
      <c r="H132" s="9">
        <f t="shared" ref="H132:H195" si="10">D132*$B132*($B132*1.02)</f>
        <v>36106829805</v>
      </c>
      <c r="I132" s="9">
        <f t="shared" ref="I132:I195" si="11">E132*$B132*($B132*1.02)</f>
        <v>296556495.24000001</v>
      </c>
      <c r="J132" s="9">
        <f t="shared" ref="J132:J195" si="12">F132*$B132*($B132*1.01)</f>
        <v>1468245393.1000001</v>
      </c>
    </row>
    <row r="133" spans="2:10" x14ac:dyDescent="0.3">
      <c r="B133" s="9">
        <v>132</v>
      </c>
      <c r="C133" s="9">
        <v>214526</v>
      </c>
      <c r="D133" s="9">
        <v>2145260</v>
      </c>
      <c r="E133" s="9">
        <v>17203</v>
      </c>
      <c r="F133" s="9">
        <v>86015</v>
      </c>
      <c r="G133" s="9">
        <f t="shared" si="9"/>
        <v>3812659044.4800005</v>
      </c>
      <c r="H133" s="9">
        <f t="shared" si="10"/>
        <v>38126590444.800003</v>
      </c>
      <c r="I133" s="9">
        <f t="shared" si="11"/>
        <v>305739973.44000006</v>
      </c>
      <c r="J133" s="9">
        <f t="shared" si="12"/>
        <v>1513712613.5999999</v>
      </c>
    </row>
    <row r="134" spans="2:10" x14ac:dyDescent="0.3">
      <c r="B134" s="9">
        <v>133</v>
      </c>
      <c r="C134" s="9">
        <v>223108</v>
      </c>
      <c r="D134" s="9">
        <v>2231080</v>
      </c>
      <c r="E134" s="9">
        <v>17467</v>
      </c>
      <c r="F134" s="9">
        <v>87335</v>
      </c>
      <c r="G134" s="9">
        <f t="shared" si="9"/>
        <v>4025488560.2399998</v>
      </c>
      <c r="H134" s="9">
        <f t="shared" si="10"/>
        <v>40254885602.400002</v>
      </c>
      <c r="I134" s="9">
        <f t="shared" si="11"/>
        <v>315153238.25999999</v>
      </c>
      <c r="J134" s="9">
        <f t="shared" si="12"/>
        <v>1560317503.1500001</v>
      </c>
    </row>
    <row r="135" spans="2:10" x14ac:dyDescent="0.3">
      <c r="B135" s="9">
        <v>134</v>
      </c>
      <c r="C135" s="9">
        <v>232033</v>
      </c>
      <c r="D135" s="9">
        <v>2320330</v>
      </c>
      <c r="E135" s="9">
        <v>17732</v>
      </c>
      <c r="F135" s="9">
        <v>88660</v>
      </c>
      <c r="G135" s="9">
        <f t="shared" si="9"/>
        <v>4249712238.96</v>
      </c>
      <c r="H135" s="9">
        <f t="shared" si="10"/>
        <v>42497122389.599998</v>
      </c>
      <c r="I135" s="9">
        <f t="shared" si="11"/>
        <v>324763707.84000003</v>
      </c>
      <c r="J135" s="9">
        <f t="shared" si="12"/>
        <v>1607898749.6000001</v>
      </c>
    </row>
    <row r="136" spans="2:10" x14ac:dyDescent="0.3">
      <c r="B136" s="9">
        <v>135</v>
      </c>
      <c r="C136" s="9">
        <v>241315</v>
      </c>
      <c r="D136" s="9">
        <v>2413150</v>
      </c>
      <c r="E136" s="9">
        <v>18000</v>
      </c>
      <c r="F136" s="9">
        <v>90000</v>
      </c>
      <c r="G136" s="9">
        <f t="shared" si="9"/>
        <v>4485925192.5</v>
      </c>
      <c r="H136" s="9">
        <f t="shared" si="10"/>
        <v>44859251925</v>
      </c>
      <c r="I136" s="9">
        <f t="shared" si="11"/>
        <v>334611000</v>
      </c>
      <c r="J136" s="9">
        <f t="shared" si="12"/>
        <v>1656652500</v>
      </c>
    </row>
    <row r="137" spans="2:10" x14ac:dyDescent="0.3">
      <c r="B137" s="9">
        <v>136</v>
      </c>
      <c r="C137" s="9">
        <v>250968</v>
      </c>
      <c r="D137" s="9">
        <v>2509680</v>
      </c>
      <c r="E137" s="9">
        <v>18269</v>
      </c>
      <c r="F137" s="9">
        <v>91345</v>
      </c>
      <c r="G137" s="9">
        <f t="shared" si="9"/>
        <v>4734742210.5600004</v>
      </c>
      <c r="H137" s="9">
        <f t="shared" si="10"/>
        <v>47347422105.599998</v>
      </c>
      <c r="I137" s="9">
        <f t="shared" si="11"/>
        <v>344661492.48000002</v>
      </c>
      <c r="J137" s="9">
        <f t="shared" si="12"/>
        <v>1706412291.2000003</v>
      </c>
    </row>
    <row r="138" spans="2:10" x14ac:dyDescent="0.3">
      <c r="B138" s="9">
        <v>137</v>
      </c>
      <c r="C138" s="9">
        <v>261007</v>
      </c>
      <c r="D138" s="9">
        <v>2610070</v>
      </c>
      <c r="E138" s="9">
        <v>18541</v>
      </c>
      <c r="F138" s="9">
        <v>92705</v>
      </c>
      <c r="G138" s="9">
        <f t="shared" si="9"/>
        <v>4996817190.6600008</v>
      </c>
      <c r="H138" s="9">
        <f t="shared" si="10"/>
        <v>49968171906.600006</v>
      </c>
      <c r="I138" s="9">
        <f t="shared" si="11"/>
        <v>354955949.58000004</v>
      </c>
      <c r="J138" s="9">
        <f t="shared" si="12"/>
        <v>1757379946.45</v>
      </c>
    </row>
    <row r="139" spans="2:10" x14ac:dyDescent="0.3">
      <c r="B139" s="9">
        <v>138</v>
      </c>
      <c r="C139" s="9">
        <v>271448</v>
      </c>
      <c r="D139" s="9">
        <v>2714480</v>
      </c>
      <c r="E139" s="9">
        <v>18814</v>
      </c>
      <c r="F139" s="9">
        <v>94070</v>
      </c>
      <c r="G139" s="9">
        <f t="shared" si="9"/>
        <v>5272844826.2399998</v>
      </c>
      <c r="H139" s="9">
        <f t="shared" si="10"/>
        <v>52728448262.399994</v>
      </c>
      <c r="I139" s="9">
        <f t="shared" si="11"/>
        <v>365459692.31999999</v>
      </c>
      <c r="J139" s="9">
        <f t="shared" si="12"/>
        <v>1809383770.8</v>
      </c>
    </row>
    <row r="140" spans="2:10" x14ac:dyDescent="0.3">
      <c r="B140" s="9">
        <v>139</v>
      </c>
      <c r="C140" s="9">
        <v>282306</v>
      </c>
      <c r="D140" s="9">
        <v>2823060</v>
      </c>
      <c r="E140" s="9">
        <v>19090</v>
      </c>
      <c r="F140" s="9">
        <v>95450</v>
      </c>
      <c r="G140" s="9">
        <f t="shared" si="9"/>
        <v>5563522910.5200005</v>
      </c>
      <c r="H140" s="9">
        <f t="shared" si="10"/>
        <v>55635229105.199997</v>
      </c>
      <c r="I140" s="9">
        <f t="shared" si="11"/>
        <v>376214647.80000001</v>
      </c>
      <c r="J140" s="9">
        <f t="shared" si="12"/>
        <v>1862631344.5000002</v>
      </c>
    </row>
    <row r="141" spans="2:10" x14ac:dyDescent="0.3">
      <c r="B141" s="9">
        <v>140</v>
      </c>
      <c r="C141" s="9">
        <v>293599</v>
      </c>
      <c r="D141" s="9">
        <v>2935990</v>
      </c>
      <c r="E141" s="9">
        <v>19367</v>
      </c>
      <c r="F141" s="9">
        <v>96835</v>
      </c>
      <c r="G141" s="9">
        <f t="shared" si="9"/>
        <v>5869631208</v>
      </c>
      <c r="H141" s="9">
        <f t="shared" si="10"/>
        <v>58696312080.000008</v>
      </c>
      <c r="I141" s="9">
        <f t="shared" si="11"/>
        <v>387185064.00000006</v>
      </c>
      <c r="J141" s="9">
        <f t="shared" si="12"/>
        <v>1916945660</v>
      </c>
    </row>
    <row r="142" spans="2:10" x14ac:dyDescent="0.3">
      <c r="B142" s="9">
        <v>141</v>
      </c>
      <c r="C142" s="9">
        <v>305343</v>
      </c>
      <c r="D142" s="9">
        <v>3053430</v>
      </c>
      <c r="E142" s="9">
        <v>19647</v>
      </c>
      <c r="F142" s="9">
        <v>98235</v>
      </c>
      <c r="G142" s="9">
        <f t="shared" si="9"/>
        <v>6191934666.6599998</v>
      </c>
      <c r="H142" s="9">
        <f t="shared" si="10"/>
        <v>61919346666.599998</v>
      </c>
      <c r="I142" s="9">
        <f t="shared" si="11"/>
        <v>398414047.13999999</v>
      </c>
      <c r="J142" s="9">
        <f t="shared" si="12"/>
        <v>1972540135.3499999</v>
      </c>
    </row>
    <row r="143" spans="2:10" x14ac:dyDescent="0.3">
      <c r="B143" s="9">
        <v>142</v>
      </c>
      <c r="C143" s="9">
        <v>317557</v>
      </c>
      <c r="D143" s="9">
        <v>3175570</v>
      </c>
      <c r="E143" s="9">
        <v>19928</v>
      </c>
      <c r="F143" s="9">
        <v>99640</v>
      </c>
      <c r="G143" s="9">
        <f t="shared" si="9"/>
        <v>6531283734.96</v>
      </c>
      <c r="H143" s="9">
        <f t="shared" si="10"/>
        <v>65312837349.599998</v>
      </c>
      <c r="I143" s="9">
        <f t="shared" si="11"/>
        <v>409864755.84000003</v>
      </c>
      <c r="J143" s="9">
        <f t="shared" si="12"/>
        <v>2029232369.5999999</v>
      </c>
    </row>
    <row r="144" spans="2:10" x14ac:dyDescent="0.3">
      <c r="B144" s="9">
        <v>143</v>
      </c>
      <c r="C144" s="9">
        <v>330260</v>
      </c>
      <c r="D144" s="9">
        <v>3302600</v>
      </c>
      <c r="E144" s="9">
        <v>20212</v>
      </c>
      <c r="F144" s="9">
        <v>101060</v>
      </c>
      <c r="G144" s="9">
        <f t="shared" si="9"/>
        <v>6888556474.8000002</v>
      </c>
      <c r="H144" s="9">
        <f t="shared" si="10"/>
        <v>68885564748</v>
      </c>
      <c r="I144" s="9">
        <f t="shared" si="11"/>
        <v>421581491.76000005</v>
      </c>
      <c r="J144" s="9">
        <f t="shared" si="12"/>
        <v>2087241699.4000001</v>
      </c>
    </row>
    <row r="145" spans="2:10" x14ac:dyDescent="0.3">
      <c r="B145" s="9">
        <v>144</v>
      </c>
      <c r="C145" s="9">
        <v>343471</v>
      </c>
      <c r="D145" s="9">
        <v>3434710</v>
      </c>
      <c r="E145" s="9">
        <v>20497</v>
      </c>
      <c r="F145" s="9">
        <v>102485</v>
      </c>
      <c r="G145" s="9">
        <f t="shared" si="9"/>
        <v>7264658949.1199999</v>
      </c>
      <c r="H145" s="9">
        <f t="shared" si="10"/>
        <v>72646589491.199997</v>
      </c>
      <c r="I145" s="9">
        <f t="shared" si="11"/>
        <v>433526307.83999997</v>
      </c>
      <c r="J145" s="9">
        <f t="shared" si="12"/>
        <v>2146380249.5999999</v>
      </c>
    </row>
    <row r="146" spans="2:10" x14ac:dyDescent="0.3">
      <c r="B146" s="9">
        <v>145</v>
      </c>
      <c r="C146" s="9">
        <v>357210</v>
      </c>
      <c r="D146" s="9">
        <v>3572100</v>
      </c>
      <c r="E146" s="9">
        <v>20785</v>
      </c>
      <c r="F146" s="9">
        <v>103925</v>
      </c>
      <c r="G146" s="9">
        <f t="shared" si="9"/>
        <v>7660547055</v>
      </c>
      <c r="H146" s="9">
        <f t="shared" si="10"/>
        <v>76605470550</v>
      </c>
      <c r="I146" s="9">
        <f t="shared" si="11"/>
        <v>445744717.5</v>
      </c>
      <c r="J146" s="9">
        <f t="shared" si="12"/>
        <v>2206873356.25</v>
      </c>
    </row>
    <row r="147" spans="2:10" x14ac:dyDescent="0.3">
      <c r="B147" s="9">
        <v>146</v>
      </c>
      <c r="C147" s="9">
        <v>371499</v>
      </c>
      <c r="D147" s="9">
        <v>3714990</v>
      </c>
      <c r="E147" s="9">
        <v>21074</v>
      </c>
      <c r="F147" s="9">
        <v>105370</v>
      </c>
      <c r="G147" s="9">
        <f t="shared" si="9"/>
        <v>8077250137.6800013</v>
      </c>
      <c r="H147" s="9">
        <f t="shared" si="10"/>
        <v>80772501376.800003</v>
      </c>
      <c r="I147" s="9">
        <f t="shared" si="11"/>
        <v>458197651.68000007</v>
      </c>
      <c r="J147" s="9">
        <f t="shared" si="12"/>
        <v>2268527589.2000003</v>
      </c>
    </row>
    <row r="148" spans="2:10" x14ac:dyDescent="0.3">
      <c r="B148" s="9">
        <v>147</v>
      </c>
      <c r="C148" s="9">
        <v>386359</v>
      </c>
      <c r="D148" s="9">
        <v>3863590</v>
      </c>
      <c r="E148" s="9">
        <v>21366</v>
      </c>
      <c r="F148" s="9">
        <v>106830</v>
      </c>
      <c r="G148" s="9">
        <f t="shared" si="9"/>
        <v>8515808263.6199999</v>
      </c>
      <c r="H148" s="9">
        <f t="shared" si="10"/>
        <v>85158082636.199997</v>
      </c>
      <c r="I148" s="9">
        <f t="shared" si="11"/>
        <v>470931851.88</v>
      </c>
      <c r="J148" s="9">
        <f t="shared" si="12"/>
        <v>2331574364.6999998</v>
      </c>
    </row>
    <row r="149" spans="2:10" x14ac:dyDescent="0.3">
      <c r="B149" s="9">
        <v>148</v>
      </c>
      <c r="C149" s="9">
        <v>401814</v>
      </c>
      <c r="D149" s="9">
        <v>4018140</v>
      </c>
      <c r="E149" s="9">
        <v>21659</v>
      </c>
      <c r="F149" s="9">
        <v>108295</v>
      </c>
      <c r="G149" s="9">
        <f t="shared" si="9"/>
        <v>8977360533.1200008</v>
      </c>
      <c r="H149" s="9">
        <f t="shared" si="10"/>
        <v>89773605331.200012</v>
      </c>
      <c r="I149" s="9">
        <f t="shared" si="11"/>
        <v>483907110.72000003</v>
      </c>
      <c r="J149" s="9">
        <f t="shared" si="12"/>
        <v>2395814616.7999997</v>
      </c>
    </row>
    <row r="150" spans="2:10" x14ac:dyDescent="0.3">
      <c r="B150" s="9">
        <v>149</v>
      </c>
      <c r="C150" s="9">
        <v>417887</v>
      </c>
      <c r="D150" s="9">
        <v>4178870</v>
      </c>
      <c r="E150" s="9">
        <v>21955</v>
      </c>
      <c r="F150" s="9">
        <v>109775</v>
      </c>
      <c r="G150" s="9">
        <f t="shared" si="9"/>
        <v>9463059472.7399998</v>
      </c>
      <c r="H150" s="9">
        <f t="shared" si="10"/>
        <v>94630594727.399994</v>
      </c>
      <c r="I150" s="9">
        <f t="shared" si="11"/>
        <v>497171414.09999996</v>
      </c>
      <c r="J150" s="9">
        <f t="shared" si="12"/>
        <v>2461485922.75</v>
      </c>
    </row>
    <row r="151" spans="2:10" x14ac:dyDescent="0.3">
      <c r="B151" s="9">
        <v>150</v>
      </c>
      <c r="C151" s="9">
        <v>434603</v>
      </c>
      <c r="D151" s="9">
        <v>4346030</v>
      </c>
      <c r="E151" s="9">
        <v>22253</v>
      </c>
      <c r="F151" s="9">
        <v>111265</v>
      </c>
      <c r="G151" s="9">
        <f t="shared" si="9"/>
        <v>9974138850</v>
      </c>
      <c r="H151" s="9">
        <f t="shared" si="10"/>
        <v>99741388500</v>
      </c>
      <c r="I151" s="9">
        <f t="shared" si="11"/>
        <v>510706350</v>
      </c>
      <c r="J151" s="9">
        <f t="shared" si="12"/>
        <v>2528497125</v>
      </c>
    </row>
    <row r="152" spans="2:10" x14ac:dyDescent="0.3">
      <c r="B152" s="9">
        <v>151</v>
      </c>
      <c r="C152" s="9">
        <v>451988</v>
      </c>
      <c r="D152" s="9">
        <v>4519880</v>
      </c>
      <c r="E152" s="9">
        <v>22552</v>
      </c>
      <c r="F152" s="9">
        <v>112760</v>
      </c>
      <c r="G152" s="9">
        <f t="shared" si="9"/>
        <v>10511893955.76</v>
      </c>
      <c r="H152" s="9">
        <f t="shared" si="10"/>
        <v>105118939557.60001</v>
      </c>
      <c r="I152" s="9">
        <f t="shared" si="11"/>
        <v>524492315.04000002</v>
      </c>
      <c r="J152" s="9">
        <f t="shared" si="12"/>
        <v>2596751167.5999999</v>
      </c>
    </row>
    <row r="153" spans="2:10" x14ac:dyDescent="0.3">
      <c r="B153" s="9">
        <v>152</v>
      </c>
      <c r="C153" s="9">
        <v>470068</v>
      </c>
      <c r="D153" s="9">
        <v>4700680</v>
      </c>
      <c r="E153" s="9">
        <v>22854</v>
      </c>
      <c r="F153" s="9">
        <v>114270</v>
      </c>
      <c r="G153" s="9">
        <f t="shared" si="9"/>
        <v>11077660093.439999</v>
      </c>
      <c r="H153" s="9">
        <f t="shared" si="10"/>
        <v>110776600934.39999</v>
      </c>
      <c r="I153" s="9">
        <f t="shared" si="11"/>
        <v>538579192.31999993</v>
      </c>
      <c r="J153" s="9">
        <f t="shared" si="12"/>
        <v>2666495020.8000002</v>
      </c>
    </row>
    <row r="154" spans="2:10" x14ac:dyDescent="0.3">
      <c r="B154" s="9">
        <v>153</v>
      </c>
      <c r="C154" s="9">
        <v>488871</v>
      </c>
      <c r="D154" s="9">
        <v>4888710</v>
      </c>
      <c r="E154" s="9">
        <v>23157</v>
      </c>
      <c r="F154" s="9">
        <v>115785</v>
      </c>
      <c r="G154" s="9">
        <f t="shared" si="9"/>
        <v>11672860863.780001</v>
      </c>
      <c r="H154" s="9">
        <f t="shared" si="10"/>
        <v>116728608637.8</v>
      </c>
      <c r="I154" s="9">
        <f t="shared" si="11"/>
        <v>552923857.25999999</v>
      </c>
      <c r="J154" s="9">
        <f t="shared" si="12"/>
        <v>2737515175.6500001</v>
      </c>
    </row>
    <row r="155" spans="2:10" x14ac:dyDescent="0.3">
      <c r="B155" s="9">
        <v>154</v>
      </c>
      <c r="C155" s="9">
        <v>508426</v>
      </c>
      <c r="D155" s="9">
        <v>5084260</v>
      </c>
      <c r="E155" s="9">
        <v>23463</v>
      </c>
      <c r="F155" s="9">
        <v>117315</v>
      </c>
      <c r="G155" s="9">
        <f t="shared" si="9"/>
        <v>12298987636.320002</v>
      </c>
      <c r="H155" s="9">
        <f t="shared" si="10"/>
        <v>122989876363.20001</v>
      </c>
      <c r="I155" s="9">
        <f t="shared" si="11"/>
        <v>567577478.16000009</v>
      </c>
      <c r="J155" s="9">
        <f t="shared" si="12"/>
        <v>2810064965.3999996</v>
      </c>
    </row>
    <row r="156" spans="2:10" x14ac:dyDescent="0.3">
      <c r="B156" s="9">
        <v>155</v>
      </c>
      <c r="C156" s="9">
        <v>528764</v>
      </c>
      <c r="D156" s="9">
        <v>5287640</v>
      </c>
      <c r="E156" s="9">
        <v>23770</v>
      </c>
      <c r="F156" s="9">
        <v>118850</v>
      </c>
      <c r="G156" s="9">
        <f t="shared" si="9"/>
        <v>12957626202</v>
      </c>
      <c r="H156" s="9">
        <f t="shared" si="10"/>
        <v>129576262020</v>
      </c>
      <c r="I156" s="9">
        <f t="shared" si="11"/>
        <v>582495735</v>
      </c>
      <c r="J156" s="9">
        <f t="shared" si="12"/>
        <v>2883924962.5</v>
      </c>
    </row>
    <row r="157" spans="2:10" x14ac:dyDescent="0.3">
      <c r="B157" s="9">
        <v>156</v>
      </c>
      <c r="C157" s="9">
        <v>549915</v>
      </c>
      <c r="D157" s="9">
        <v>5499150</v>
      </c>
      <c r="E157" s="9">
        <v>24080</v>
      </c>
      <c r="F157" s="9">
        <v>120400</v>
      </c>
      <c r="G157" s="9">
        <f t="shared" si="9"/>
        <v>13650386068.800001</v>
      </c>
      <c r="H157" s="9">
        <f t="shared" si="10"/>
        <v>136503860688</v>
      </c>
      <c r="I157" s="9">
        <f t="shared" si="11"/>
        <v>597731097.60000002</v>
      </c>
      <c r="J157" s="9">
        <f t="shared" si="12"/>
        <v>2959354944</v>
      </c>
    </row>
    <row r="158" spans="2:10" x14ac:dyDescent="0.3">
      <c r="B158" s="9">
        <v>157</v>
      </c>
      <c r="C158" s="9">
        <v>571912</v>
      </c>
      <c r="D158" s="9">
        <v>5719120</v>
      </c>
      <c r="E158" s="9">
        <v>24392</v>
      </c>
      <c r="F158" s="9">
        <v>121960</v>
      </c>
      <c r="G158" s="9">
        <f t="shared" si="9"/>
        <v>14379000065.760002</v>
      </c>
      <c r="H158" s="9">
        <f t="shared" si="10"/>
        <v>143790000657.60001</v>
      </c>
      <c r="I158" s="9">
        <f t="shared" si="11"/>
        <v>613263176.16000009</v>
      </c>
      <c r="J158" s="9">
        <f t="shared" si="12"/>
        <v>3036253960.4000001</v>
      </c>
    </row>
    <row r="159" spans="2:10" x14ac:dyDescent="0.3">
      <c r="B159" s="9">
        <v>158</v>
      </c>
      <c r="C159" s="9">
        <v>594789</v>
      </c>
      <c r="D159" s="9">
        <v>5947890</v>
      </c>
      <c r="E159" s="9">
        <v>24705</v>
      </c>
      <c r="F159" s="9">
        <v>123525</v>
      </c>
      <c r="G159" s="9">
        <f t="shared" si="9"/>
        <v>15145278847.92</v>
      </c>
      <c r="H159" s="9">
        <f t="shared" si="10"/>
        <v>151452788479.19998</v>
      </c>
      <c r="I159" s="9">
        <f t="shared" si="11"/>
        <v>629070332.39999998</v>
      </c>
      <c r="J159" s="9">
        <f t="shared" si="12"/>
        <v>3114514881.0000005</v>
      </c>
    </row>
    <row r="160" spans="2:10" x14ac:dyDescent="0.3">
      <c r="B160" s="9">
        <v>159</v>
      </c>
      <c r="C160" s="9">
        <v>618581</v>
      </c>
      <c r="D160" s="9">
        <v>6185810</v>
      </c>
      <c r="E160" s="9">
        <v>25021</v>
      </c>
      <c r="F160" s="9">
        <v>125105</v>
      </c>
      <c r="G160" s="9">
        <f t="shared" si="9"/>
        <v>15951113186.220001</v>
      </c>
      <c r="H160" s="9">
        <f t="shared" si="10"/>
        <v>159511131862.20001</v>
      </c>
      <c r="I160" s="9">
        <f t="shared" si="11"/>
        <v>645207019.01999998</v>
      </c>
      <c r="J160" s="9">
        <f t="shared" si="12"/>
        <v>3194407300.0500002</v>
      </c>
    </row>
    <row r="161" spans="2:10" x14ac:dyDescent="0.3">
      <c r="B161" s="9">
        <v>160</v>
      </c>
      <c r="C161" s="9">
        <v>643325</v>
      </c>
      <c r="D161" s="9">
        <v>6433250</v>
      </c>
      <c r="E161" s="9">
        <v>25338</v>
      </c>
      <c r="F161" s="9">
        <v>126690</v>
      </c>
      <c r="G161" s="9">
        <f t="shared" si="9"/>
        <v>16798502399.999998</v>
      </c>
      <c r="H161" s="9">
        <f t="shared" si="10"/>
        <v>167985024000</v>
      </c>
      <c r="I161" s="9">
        <f t="shared" si="11"/>
        <v>661625856</v>
      </c>
      <c r="J161" s="9">
        <f t="shared" si="12"/>
        <v>3275696640</v>
      </c>
    </row>
    <row r="162" spans="2:10" x14ac:dyDescent="0.3">
      <c r="B162" s="9">
        <v>161</v>
      </c>
      <c r="C162" s="9">
        <v>669058</v>
      </c>
      <c r="D162" s="9">
        <v>6690580</v>
      </c>
      <c r="E162" s="9">
        <v>25658</v>
      </c>
      <c r="F162" s="9">
        <v>128290</v>
      </c>
      <c r="G162" s="9">
        <f t="shared" si="9"/>
        <v>17689505466.360001</v>
      </c>
      <c r="H162" s="9">
        <f t="shared" si="10"/>
        <v>176895054663.60001</v>
      </c>
      <c r="I162" s="9">
        <f t="shared" si="11"/>
        <v>678382638.36000001</v>
      </c>
      <c r="J162" s="9">
        <f t="shared" si="12"/>
        <v>3358659140.9000001</v>
      </c>
    </row>
    <row r="163" spans="2:10" x14ac:dyDescent="0.3">
      <c r="B163" s="9">
        <v>162</v>
      </c>
      <c r="C163" s="9">
        <v>695821</v>
      </c>
      <c r="D163" s="9">
        <v>6958210</v>
      </c>
      <c r="E163" s="9">
        <v>25980</v>
      </c>
      <c r="F163" s="9">
        <v>129900</v>
      </c>
      <c r="G163" s="9">
        <f t="shared" si="9"/>
        <v>18626348850.48</v>
      </c>
      <c r="H163" s="9">
        <f t="shared" si="10"/>
        <v>186263488504.80002</v>
      </c>
      <c r="I163" s="9">
        <f t="shared" si="11"/>
        <v>695455502.4000001</v>
      </c>
      <c r="J163" s="9">
        <f t="shared" si="12"/>
        <v>3443186556</v>
      </c>
    </row>
    <row r="164" spans="2:10" x14ac:dyDescent="0.3">
      <c r="B164" s="9">
        <v>163</v>
      </c>
      <c r="C164" s="9">
        <v>723654</v>
      </c>
      <c r="D164" s="9">
        <v>7236540</v>
      </c>
      <c r="E164" s="9">
        <v>26303</v>
      </c>
      <c r="F164" s="9">
        <v>131515</v>
      </c>
      <c r="G164" s="9">
        <f t="shared" si="9"/>
        <v>19611298388.52</v>
      </c>
      <c r="H164" s="9">
        <f t="shared" si="10"/>
        <v>196112983885.19998</v>
      </c>
      <c r="I164" s="9">
        <f t="shared" si="11"/>
        <v>712821295.13999999</v>
      </c>
      <c r="J164" s="9">
        <f t="shared" si="12"/>
        <v>3529164255.3499999</v>
      </c>
    </row>
    <row r="165" spans="2:10" x14ac:dyDescent="0.3">
      <c r="B165" s="9">
        <v>164</v>
      </c>
      <c r="C165" s="9">
        <v>752601</v>
      </c>
      <c r="D165" s="9">
        <v>7526010</v>
      </c>
      <c r="E165" s="9">
        <v>26629</v>
      </c>
      <c r="F165" s="9">
        <v>133145</v>
      </c>
      <c r="G165" s="9">
        <f t="shared" si="9"/>
        <v>20646795625.920002</v>
      </c>
      <c r="H165" s="9">
        <f t="shared" si="10"/>
        <v>206467956259.20001</v>
      </c>
      <c r="I165" s="9">
        <f t="shared" si="11"/>
        <v>730537855.67999995</v>
      </c>
      <c r="J165" s="9">
        <f t="shared" si="12"/>
        <v>3616878599.2000003</v>
      </c>
    </row>
    <row r="166" spans="2:10" x14ac:dyDescent="0.3">
      <c r="B166" s="9">
        <v>165</v>
      </c>
      <c r="C166" s="9">
        <v>782706</v>
      </c>
      <c r="D166" s="9">
        <v>7827060</v>
      </c>
      <c r="E166" s="9">
        <v>26957</v>
      </c>
      <c r="F166" s="9">
        <v>134785</v>
      </c>
      <c r="G166" s="9">
        <f t="shared" si="9"/>
        <v>21735354267</v>
      </c>
      <c r="H166" s="9">
        <f t="shared" si="10"/>
        <v>217353542670</v>
      </c>
      <c r="I166" s="9">
        <f t="shared" si="11"/>
        <v>748582411.5</v>
      </c>
      <c r="J166" s="9">
        <f t="shared" si="12"/>
        <v>3706216841.25</v>
      </c>
    </row>
    <row r="167" spans="2:10" x14ac:dyDescent="0.3">
      <c r="B167" s="9">
        <v>166</v>
      </c>
      <c r="C167" s="9">
        <v>814015</v>
      </c>
      <c r="D167" s="9">
        <v>8140150</v>
      </c>
      <c r="E167" s="9">
        <v>27286</v>
      </c>
      <c r="F167" s="9">
        <v>136430</v>
      </c>
      <c r="G167" s="9">
        <f t="shared" si="9"/>
        <v>22879617286.799999</v>
      </c>
      <c r="H167" s="9">
        <f t="shared" si="10"/>
        <v>228796172868</v>
      </c>
      <c r="I167" s="9">
        <f t="shared" si="11"/>
        <v>766930876.31999993</v>
      </c>
      <c r="J167" s="9">
        <f t="shared" si="12"/>
        <v>3797059730.7999997</v>
      </c>
    </row>
    <row r="168" spans="2:10" x14ac:dyDescent="0.3">
      <c r="B168" s="9">
        <v>167</v>
      </c>
      <c r="C168" s="9">
        <v>846576</v>
      </c>
      <c r="D168" s="9">
        <v>8465760</v>
      </c>
      <c r="E168" s="9">
        <v>27618</v>
      </c>
      <c r="F168" s="9">
        <v>138090</v>
      </c>
      <c r="G168" s="9">
        <f t="shared" si="9"/>
        <v>24082361225.279999</v>
      </c>
      <c r="H168" s="9">
        <f t="shared" si="10"/>
        <v>240823612252.80002</v>
      </c>
      <c r="I168" s="9">
        <f t="shared" si="11"/>
        <v>785643170.03999996</v>
      </c>
      <c r="J168" s="9">
        <f t="shared" si="12"/>
        <v>3889703930.0999999</v>
      </c>
    </row>
    <row r="169" spans="2:10" x14ac:dyDescent="0.3">
      <c r="B169" s="9">
        <v>168</v>
      </c>
      <c r="C169" s="9">
        <v>880440</v>
      </c>
      <c r="D169" s="9">
        <v>8804400</v>
      </c>
      <c r="E169" s="9">
        <v>27952</v>
      </c>
      <c r="F169" s="9">
        <v>139760</v>
      </c>
      <c r="G169" s="9">
        <f t="shared" si="9"/>
        <v>25346529331.200001</v>
      </c>
      <c r="H169" s="9">
        <f t="shared" si="10"/>
        <v>253465293312.00003</v>
      </c>
      <c r="I169" s="9">
        <f t="shared" si="11"/>
        <v>804695592.96000004</v>
      </c>
      <c r="J169" s="9">
        <f t="shared" si="12"/>
        <v>3984032102.4000001</v>
      </c>
    </row>
    <row r="170" spans="2:10" x14ac:dyDescent="0.3">
      <c r="B170" s="9">
        <v>169</v>
      </c>
      <c r="C170" s="9">
        <v>915658</v>
      </c>
      <c r="D170" s="9">
        <v>9156580</v>
      </c>
      <c r="E170" s="9">
        <v>28287</v>
      </c>
      <c r="F170" s="9">
        <v>141435</v>
      </c>
      <c r="G170" s="9">
        <f t="shared" si="9"/>
        <v>26675150300.759998</v>
      </c>
      <c r="H170" s="9">
        <f t="shared" si="10"/>
        <v>266751503007.60001</v>
      </c>
      <c r="I170" s="9">
        <f t="shared" si="11"/>
        <v>824063107.13999999</v>
      </c>
      <c r="J170" s="9">
        <f t="shared" si="12"/>
        <v>4079920285.3499999</v>
      </c>
    </row>
    <row r="171" spans="2:10" x14ac:dyDescent="0.3">
      <c r="B171" s="9">
        <v>170</v>
      </c>
      <c r="C171" s="9">
        <v>952285</v>
      </c>
      <c r="D171" s="9">
        <v>9522850</v>
      </c>
      <c r="E171" s="9">
        <v>28625</v>
      </c>
      <c r="F171" s="9">
        <v>143125</v>
      </c>
      <c r="G171" s="9">
        <f t="shared" si="9"/>
        <v>28071457230</v>
      </c>
      <c r="H171" s="9">
        <f t="shared" si="10"/>
        <v>280714572300</v>
      </c>
      <c r="I171" s="9">
        <f t="shared" si="11"/>
        <v>843807750</v>
      </c>
      <c r="J171" s="9">
        <f t="shared" si="12"/>
        <v>4177675624.9999995</v>
      </c>
    </row>
    <row r="172" spans="2:10" x14ac:dyDescent="0.3">
      <c r="B172" s="9">
        <v>171</v>
      </c>
      <c r="C172" s="9">
        <v>990377</v>
      </c>
      <c r="D172" s="9">
        <v>9903770</v>
      </c>
      <c r="E172" s="9">
        <v>28965</v>
      </c>
      <c r="F172" s="9">
        <v>144825</v>
      </c>
      <c r="G172" s="9">
        <f t="shared" si="9"/>
        <v>29538806134.140003</v>
      </c>
      <c r="H172" s="9">
        <f t="shared" si="10"/>
        <v>295388061341.40002</v>
      </c>
      <c r="I172" s="9">
        <f t="shared" si="11"/>
        <v>863904876.30000007</v>
      </c>
      <c r="J172" s="9">
        <f t="shared" si="12"/>
        <v>4277176103.25</v>
      </c>
    </row>
    <row r="173" spans="2:10" x14ac:dyDescent="0.3">
      <c r="B173" s="9">
        <v>172</v>
      </c>
      <c r="C173" s="9">
        <v>1029993</v>
      </c>
      <c r="D173" s="9">
        <v>10299930</v>
      </c>
      <c r="E173" s="9">
        <v>29306</v>
      </c>
      <c r="F173" s="9">
        <v>146530</v>
      </c>
      <c r="G173" s="9">
        <f t="shared" si="9"/>
        <v>31080739170.239998</v>
      </c>
      <c r="H173" s="9">
        <f t="shared" si="10"/>
        <v>310807391702.40002</v>
      </c>
      <c r="I173" s="9">
        <f t="shared" si="11"/>
        <v>884328478.08000004</v>
      </c>
      <c r="J173" s="9">
        <f t="shared" si="12"/>
        <v>4378292955.1999998</v>
      </c>
    </row>
    <row r="174" spans="2:10" x14ac:dyDescent="0.3">
      <c r="B174" s="9">
        <v>173</v>
      </c>
      <c r="C174" s="9">
        <v>1071193</v>
      </c>
      <c r="D174" s="9">
        <v>10711930</v>
      </c>
      <c r="E174" s="9">
        <v>29650</v>
      </c>
      <c r="F174" s="9">
        <v>148250</v>
      </c>
      <c r="G174" s="9">
        <f t="shared" si="9"/>
        <v>32700930002.940002</v>
      </c>
      <c r="H174" s="9">
        <f t="shared" si="10"/>
        <v>327009300029.40002</v>
      </c>
      <c r="I174" s="9">
        <f t="shared" si="11"/>
        <v>905142747</v>
      </c>
      <c r="J174" s="9">
        <f t="shared" si="12"/>
        <v>4481343992.5</v>
      </c>
    </row>
    <row r="175" spans="2:10" x14ac:dyDescent="0.3">
      <c r="B175" s="9">
        <v>174</v>
      </c>
      <c r="C175" s="9">
        <v>1114041</v>
      </c>
      <c r="D175" s="9">
        <v>11140410</v>
      </c>
      <c r="E175" s="9">
        <v>29996</v>
      </c>
      <c r="F175" s="9">
        <v>149980</v>
      </c>
      <c r="G175" s="9">
        <f t="shared" si="9"/>
        <v>34403279422.32</v>
      </c>
      <c r="H175" s="9">
        <f t="shared" si="10"/>
        <v>344032794223.19995</v>
      </c>
      <c r="I175" s="9">
        <f t="shared" si="11"/>
        <v>926322073.91999996</v>
      </c>
      <c r="J175" s="9">
        <f t="shared" si="12"/>
        <v>4586202424.8000002</v>
      </c>
    </row>
    <row r="176" spans="2:10" x14ac:dyDescent="0.3">
      <c r="B176" s="9">
        <v>175</v>
      </c>
      <c r="C176" s="9">
        <v>1158603</v>
      </c>
      <c r="D176" s="9">
        <v>11586030</v>
      </c>
      <c r="E176" s="9">
        <v>30344</v>
      </c>
      <c r="F176" s="9">
        <v>151720</v>
      </c>
      <c r="G176" s="9">
        <f t="shared" si="9"/>
        <v>36191861212.5</v>
      </c>
      <c r="H176" s="9">
        <f t="shared" si="10"/>
        <v>361918612125</v>
      </c>
      <c r="I176" s="9">
        <f t="shared" si="11"/>
        <v>947870700</v>
      </c>
      <c r="J176" s="9">
        <f t="shared" si="12"/>
        <v>4692889250</v>
      </c>
    </row>
    <row r="177" spans="2:10" x14ac:dyDescent="0.3">
      <c r="B177" s="9">
        <v>176</v>
      </c>
      <c r="C177" s="9">
        <v>1204948</v>
      </c>
      <c r="D177" s="9">
        <v>12049480</v>
      </c>
      <c r="E177" s="9">
        <v>30693</v>
      </c>
      <c r="F177" s="9">
        <v>153465</v>
      </c>
      <c r="G177" s="9">
        <f t="shared" si="9"/>
        <v>38070958632.959999</v>
      </c>
      <c r="H177" s="9">
        <f t="shared" si="10"/>
        <v>380709586329.60004</v>
      </c>
      <c r="I177" s="9">
        <f t="shared" si="11"/>
        <v>969761295.36000001</v>
      </c>
      <c r="J177" s="9">
        <f t="shared" si="12"/>
        <v>4801269158.3999996</v>
      </c>
    </row>
    <row r="178" spans="2:10" x14ac:dyDescent="0.3">
      <c r="B178" s="9">
        <v>177</v>
      </c>
      <c r="C178" s="9">
        <v>1253146</v>
      </c>
      <c r="D178" s="9">
        <v>12531460</v>
      </c>
      <c r="E178" s="9">
        <v>31045</v>
      </c>
      <c r="F178" s="9">
        <v>155225</v>
      </c>
      <c r="G178" s="9">
        <f t="shared" si="9"/>
        <v>40045007254.68</v>
      </c>
      <c r="H178" s="9">
        <f t="shared" si="10"/>
        <v>400450072546.79999</v>
      </c>
      <c r="I178" s="9">
        <f t="shared" si="11"/>
        <v>992060981.0999999</v>
      </c>
      <c r="J178" s="9">
        <f t="shared" si="12"/>
        <v>4911674465.25</v>
      </c>
    </row>
    <row r="179" spans="2:10" x14ac:dyDescent="0.3">
      <c r="B179" s="9">
        <v>178</v>
      </c>
      <c r="C179" s="9">
        <v>1303272</v>
      </c>
      <c r="D179" s="9">
        <v>13032720</v>
      </c>
      <c r="E179" s="9">
        <v>31399</v>
      </c>
      <c r="F179" s="9">
        <v>156995</v>
      </c>
      <c r="G179" s="9">
        <f t="shared" si="9"/>
        <v>42118727448.959999</v>
      </c>
      <c r="H179" s="9">
        <f t="shared" si="10"/>
        <v>421187274489.59998</v>
      </c>
      <c r="I179" s="9">
        <f t="shared" si="11"/>
        <v>1014742834.3200001</v>
      </c>
      <c r="J179" s="9">
        <f t="shared" si="12"/>
        <v>5023971875.8000002</v>
      </c>
    </row>
    <row r="180" spans="2:10" x14ac:dyDescent="0.3">
      <c r="B180" s="9">
        <v>179</v>
      </c>
      <c r="C180" s="9">
        <v>1355403</v>
      </c>
      <c r="D180" s="9">
        <v>13554030</v>
      </c>
      <c r="E180" s="9">
        <v>31755</v>
      </c>
      <c r="F180" s="9">
        <v>158775</v>
      </c>
      <c r="G180" s="9">
        <f t="shared" si="9"/>
        <v>44297036873.460007</v>
      </c>
      <c r="H180" s="9">
        <f t="shared" si="10"/>
        <v>442970368734.60004</v>
      </c>
      <c r="I180" s="9">
        <f t="shared" si="11"/>
        <v>1037811194.1</v>
      </c>
      <c r="J180" s="9">
        <f t="shared" si="12"/>
        <v>5138182872.75</v>
      </c>
    </row>
    <row r="181" spans="2:10" x14ac:dyDescent="0.3">
      <c r="B181" s="9">
        <v>180</v>
      </c>
      <c r="C181" s="9">
        <v>1409620</v>
      </c>
      <c r="D181" s="9">
        <v>14096200</v>
      </c>
      <c r="E181" s="9">
        <v>32112</v>
      </c>
      <c r="F181" s="9">
        <v>160560</v>
      </c>
      <c r="G181" s="9">
        <f t="shared" si="9"/>
        <v>46585121760</v>
      </c>
      <c r="H181" s="9">
        <f t="shared" si="10"/>
        <v>465851217600</v>
      </c>
      <c r="I181" s="9">
        <f t="shared" si="11"/>
        <v>1061237376</v>
      </c>
      <c r="J181" s="9">
        <f t="shared" si="12"/>
        <v>5254165440</v>
      </c>
    </row>
    <row r="182" spans="2:10" x14ac:dyDescent="0.3">
      <c r="B182" s="9">
        <v>181</v>
      </c>
      <c r="C182" s="9">
        <v>1466005</v>
      </c>
      <c r="D182" s="9">
        <v>14660050</v>
      </c>
      <c r="E182" s="9">
        <v>32472</v>
      </c>
      <c r="F182" s="9">
        <v>162360</v>
      </c>
      <c r="G182" s="9">
        <f t="shared" si="9"/>
        <v>48988345601.099998</v>
      </c>
      <c r="H182" s="9">
        <f t="shared" si="10"/>
        <v>489883456011</v>
      </c>
      <c r="I182" s="9">
        <f t="shared" si="11"/>
        <v>1085091495.8399999</v>
      </c>
      <c r="J182" s="9">
        <f t="shared" si="12"/>
        <v>5372266719.6000004</v>
      </c>
    </row>
    <row r="183" spans="2:10" x14ac:dyDescent="0.3">
      <c r="B183" s="9">
        <v>182</v>
      </c>
      <c r="C183" s="9">
        <v>1524646</v>
      </c>
      <c r="D183" s="9">
        <v>15246460</v>
      </c>
      <c r="E183" s="9">
        <v>32834</v>
      </c>
      <c r="F183" s="9">
        <v>164170</v>
      </c>
      <c r="G183" s="9">
        <f t="shared" si="9"/>
        <v>51512421586.080002</v>
      </c>
      <c r="H183" s="9">
        <f t="shared" si="10"/>
        <v>515124215860.80005</v>
      </c>
      <c r="I183" s="9">
        <f t="shared" si="11"/>
        <v>1109345284.3200002</v>
      </c>
      <c r="J183" s="9">
        <f t="shared" si="12"/>
        <v>5492346750.8000002</v>
      </c>
    </row>
    <row r="184" spans="2:10" x14ac:dyDescent="0.3">
      <c r="B184" s="9">
        <v>183</v>
      </c>
      <c r="C184" s="9">
        <v>1585632</v>
      </c>
      <c r="D184" s="9">
        <v>15856320</v>
      </c>
      <c r="E184" s="9">
        <v>33198</v>
      </c>
      <c r="F184" s="9">
        <v>165990</v>
      </c>
      <c r="G184" s="9">
        <f t="shared" si="9"/>
        <v>54163254648.959999</v>
      </c>
      <c r="H184" s="9">
        <f t="shared" si="10"/>
        <v>541632546489.59998</v>
      </c>
      <c r="I184" s="9">
        <f t="shared" si="11"/>
        <v>1134003178.4400001</v>
      </c>
      <c r="J184" s="9">
        <f t="shared" si="12"/>
        <v>5614427501.1000004</v>
      </c>
    </row>
    <row r="185" spans="2:10" x14ac:dyDescent="0.3">
      <c r="B185" s="9">
        <v>184</v>
      </c>
      <c r="C185" s="9">
        <v>1649058</v>
      </c>
      <c r="D185" s="9">
        <v>16490580</v>
      </c>
      <c r="E185" s="9">
        <v>33564</v>
      </c>
      <c r="F185" s="9">
        <v>167820</v>
      </c>
      <c r="G185" s="9">
        <f t="shared" si="9"/>
        <v>56947117800.959999</v>
      </c>
      <c r="H185" s="9">
        <f t="shared" si="10"/>
        <v>569471178009.59998</v>
      </c>
      <c r="I185" s="9">
        <f t="shared" si="11"/>
        <v>1159069639.6800001</v>
      </c>
      <c r="J185" s="9">
        <f t="shared" si="12"/>
        <v>5738531059.1999998</v>
      </c>
    </row>
    <row r="186" spans="2:10" x14ac:dyDescent="0.3">
      <c r="B186" s="9">
        <v>185</v>
      </c>
      <c r="C186" s="9">
        <v>1715021</v>
      </c>
      <c r="D186" s="9">
        <v>17150210</v>
      </c>
      <c r="E186" s="9">
        <v>33931</v>
      </c>
      <c r="F186" s="9">
        <v>169655</v>
      </c>
      <c r="G186" s="9">
        <f t="shared" si="9"/>
        <v>59870525599.500008</v>
      </c>
      <c r="H186" s="9">
        <f t="shared" si="10"/>
        <v>598705255995</v>
      </c>
      <c r="I186" s="9">
        <f t="shared" si="11"/>
        <v>1184514244.5</v>
      </c>
      <c r="J186" s="9">
        <f t="shared" si="12"/>
        <v>5864506798.75</v>
      </c>
    </row>
    <row r="187" spans="2:10" x14ac:dyDescent="0.3">
      <c r="B187" s="9">
        <v>186</v>
      </c>
      <c r="C187" s="9">
        <v>1783622</v>
      </c>
      <c r="D187" s="9">
        <v>17836220</v>
      </c>
      <c r="E187" s="9">
        <v>34301</v>
      </c>
      <c r="F187" s="9">
        <v>171505</v>
      </c>
      <c r="G187" s="9">
        <f t="shared" si="9"/>
        <v>62940310446.239998</v>
      </c>
      <c r="H187" s="9">
        <f t="shared" si="10"/>
        <v>629403104462.40002</v>
      </c>
      <c r="I187" s="9">
        <f t="shared" si="11"/>
        <v>1210410943.9200001</v>
      </c>
      <c r="J187" s="9">
        <f t="shared" si="12"/>
        <v>5992720849.8000002</v>
      </c>
    </row>
    <row r="188" spans="2:10" x14ac:dyDescent="0.3">
      <c r="B188" s="9">
        <v>187</v>
      </c>
      <c r="C188" s="9">
        <v>1854967</v>
      </c>
      <c r="D188" s="9">
        <v>18549670</v>
      </c>
      <c r="E188" s="9">
        <v>34673</v>
      </c>
      <c r="F188" s="9">
        <v>173365</v>
      </c>
      <c r="G188" s="9">
        <f t="shared" si="9"/>
        <v>66163667843.460007</v>
      </c>
      <c r="H188" s="9">
        <f t="shared" si="10"/>
        <v>661636678434.59998</v>
      </c>
      <c r="I188" s="9">
        <f t="shared" si="11"/>
        <v>1236729739.74</v>
      </c>
      <c r="J188" s="9">
        <f t="shared" si="12"/>
        <v>6123024691.8500004</v>
      </c>
    </row>
    <row r="189" spans="2:10" x14ac:dyDescent="0.3">
      <c r="B189" s="9">
        <v>188</v>
      </c>
      <c r="C189" s="9">
        <v>1929166</v>
      </c>
      <c r="D189" s="9">
        <v>19291660</v>
      </c>
      <c r="E189" s="9">
        <v>35047</v>
      </c>
      <c r="F189" s="9">
        <v>175235</v>
      </c>
      <c r="G189" s="9">
        <f t="shared" si="9"/>
        <v>69548131966.080002</v>
      </c>
      <c r="H189" s="9">
        <f t="shared" si="10"/>
        <v>695481319660.79993</v>
      </c>
      <c r="I189" s="9">
        <f t="shared" si="11"/>
        <v>1263475191.3599999</v>
      </c>
      <c r="J189" s="9">
        <f t="shared" si="12"/>
        <v>6255440898.3999996</v>
      </c>
    </row>
    <row r="190" spans="2:10" x14ac:dyDescent="0.3">
      <c r="B190" s="9">
        <v>189</v>
      </c>
      <c r="C190" s="9">
        <v>2006333</v>
      </c>
      <c r="D190" s="9">
        <v>20063330</v>
      </c>
      <c r="E190" s="9">
        <v>35423</v>
      </c>
      <c r="F190" s="9">
        <v>177115</v>
      </c>
      <c r="G190" s="9">
        <f t="shared" si="9"/>
        <v>73101585514.860001</v>
      </c>
      <c r="H190" s="9">
        <f t="shared" si="10"/>
        <v>731015855148.59998</v>
      </c>
      <c r="I190" s="9">
        <f t="shared" si="11"/>
        <v>1290651882.6600001</v>
      </c>
      <c r="J190" s="9">
        <f t="shared" si="12"/>
        <v>6389992164.1500006</v>
      </c>
    </row>
    <row r="191" spans="2:10" x14ac:dyDescent="0.3">
      <c r="B191" s="9">
        <v>190</v>
      </c>
      <c r="C191" s="9">
        <v>2086587</v>
      </c>
      <c r="D191" s="9">
        <v>20865870</v>
      </c>
      <c r="E191" s="9">
        <v>35801</v>
      </c>
      <c r="F191" s="9">
        <v>179005</v>
      </c>
      <c r="G191" s="9">
        <f t="shared" si="9"/>
        <v>76832306514</v>
      </c>
      <c r="H191" s="9">
        <f t="shared" si="10"/>
        <v>768323065140</v>
      </c>
      <c r="I191" s="9">
        <f t="shared" si="11"/>
        <v>1318264422</v>
      </c>
      <c r="J191" s="9">
        <f t="shared" si="12"/>
        <v>6526701305</v>
      </c>
    </row>
    <row r="192" spans="2:10" x14ac:dyDescent="0.3">
      <c r="B192" s="9">
        <v>191</v>
      </c>
      <c r="C192" s="9">
        <v>2170051</v>
      </c>
      <c r="D192" s="9">
        <v>21700510</v>
      </c>
      <c r="E192" s="9">
        <v>36180</v>
      </c>
      <c r="F192" s="9">
        <v>180900</v>
      </c>
      <c r="G192" s="9">
        <f t="shared" si="9"/>
        <v>80748943141.619995</v>
      </c>
      <c r="H192" s="9">
        <f t="shared" si="10"/>
        <v>807489431416.19995</v>
      </c>
      <c r="I192" s="9">
        <f t="shared" si="11"/>
        <v>1346280231.5999999</v>
      </c>
      <c r="J192" s="9">
        <f t="shared" si="12"/>
        <v>6665407029</v>
      </c>
    </row>
    <row r="193" spans="2:10" x14ac:dyDescent="0.3">
      <c r="B193" s="9">
        <v>192</v>
      </c>
      <c r="C193" s="9">
        <v>2256854</v>
      </c>
      <c r="D193" s="9">
        <v>22568540</v>
      </c>
      <c r="E193" s="9">
        <v>36562</v>
      </c>
      <c r="F193" s="9">
        <v>182810</v>
      </c>
      <c r="G193" s="9">
        <f t="shared" si="9"/>
        <v>84860599173.119995</v>
      </c>
      <c r="H193" s="9">
        <f t="shared" si="10"/>
        <v>848605991731.20007</v>
      </c>
      <c r="I193" s="9">
        <f t="shared" si="11"/>
        <v>1374777999.3600001</v>
      </c>
      <c r="J193" s="9">
        <f t="shared" si="12"/>
        <v>6806498918.4000006</v>
      </c>
    </row>
    <row r="194" spans="2:10" x14ac:dyDescent="0.3">
      <c r="B194" s="9">
        <v>193</v>
      </c>
      <c r="C194" s="9">
        <v>2347129</v>
      </c>
      <c r="D194" s="9">
        <v>23471290</v>
      </c>
      <c r="E194" s="9">
        <v>36946</v>
      </c>
      <c r="F194" s="9">
        <v>184730</v>
      </c>
      <c r="G194" s="9">
        <f t="shared" si="9"/>
        <v>89176772283.420013</v>
      </c>
      <c r="H194" s="9">
        <f t="shared" si="10"/>
        <v>891767722834.20007</v>
      </c>
      <c r="I194" s="9">
        <f t="shared" si="11"/>
        <v>1403725585.0800002</v>
      </c>
      <c r="J194" s="9">
        <f t="shared" si="12"/>
        <v>6949817847.6999998</v>
      </c>
    </row>
    <row r="195" spans="2:10" x14ac:dyDescent="0.3">
      <c r="B195" s="9">
        <v>194</v>
      </c>
      <c r="C195" s="9">
        <v>2441015</v>
      </c>
      <c r="D195" s="9">
        <v>24410150</v>
      </c>
      <c r="E195" s="9">
        <v>37332</v>
      </c>
      <c r="F195" s="9">
        <v>186660</v>
      </c>
      <c r="G195" s="9">
        <f t="shared" si="9"/>
        <v>93707441350.800003</v>
      </c>
      <c r="H195" s="9">
        <f t="shared" si="10"/>
        <v>937074413508</v>
      </c>
      <c r="I195" s="9">
        <f t="shared" si="11"/>
        <v>1433127695.04</v>
      </c>
      <c r="J195" s="9">
        <f t="shared" si="12"/>
        <v>7095387117.6000004</v>
      </c>
    </row>
    <row r="196" spans="2:10" x14ac:dyDescent="0.3">
      <c r="B196" s="9">
        <v>195</v>
      </c>
      <c r="C196" s="9">
        <v>2538656</v>
      </c>
      <c r="D196" s="9">
        <v>25386560</v>
      </c>
      <c r="E196" s="9">
        <v>37720</v>
      </c>
      <c r="F196" s="9">
        <v>188600</v>
      </c>
      <c r="G196" s="9">
        <f t="shared" ref="G196:G203" si="13">C196*$B196*($B196*1.02)</f>
        <v>98463042288</v>
      </c>
      <c r="H196" s="9">
        <f t="shared" ref="H196:H203" si="14">D196*$B196*($B196*1.02)</f>
        <v>984630422880</v>
      </c>
      <c r="I196" s="9">
        <f t="shared" ref="I196:I203" si="15">E196*$B196*($B196*1.02)</f>
        <v>1462989060</v>
      </c>
      <c r="J196" s="9">
        <f t="shared" ref="J196:J259" si="16">F196*$B196*($B196*1.01)</f>
        <v>7243230150</v>
      </c>
    </row>
    <row r="197" spans="2:10" x14ac:dyDescent="0.3">
      <c r="B197" s="9">
        <v>196</v>
      </c>
      <c r="C197" s="9">
        <v>2640203</v>
      </c>
      <c r="D197" s="9">
        <v>26402030</v>
      </c>
      <c r="E197" s="9">
        <v>38110</v>
      </c>
      <c r="F197" s="9">
        <v>190550</v>
      </c>
      <c r="G197" s="9">
        <f t="shared" si="13"/>
        <v>103454559216.96001</v>
      </c>
      <c r="H197" s="9">
        <f t="shared" si="14"/>
        <v>1034545592169.6001</v>
      </c>
      <c r="I197" s="9">
        <f t="shared" si="15"/>
        <v>1493314435.2</v>
      </c>
      <c r="J197" s="9">
        <f t="shared" si="16"/>
        <v>7393370488</v>
      </c>
    </row>
    <row r="198" spans="2:10" x14ac:dyDescent="0.3">
      <c r="B198" s="9">
        <v>197</v>
      </c>
      <c r="C198" s="9">
        <v>2745812</v>
      </c>
      <c r="D198" s="9">
        <v>27458120</v>
      </c>
      <c r="E198" s="9">
        <v>38502</v>
      </c>
      <c r="F198" s="9">
        <v>192510</v>
      </c>
      <c r="G198" s="9">
        <f t="shared" si="13"/>
        <v>108693462266.16</v>
      </c>
      <c r="H198" s="9">
        <f t="shared" si="14"/>
        <v>1086934622661.6</v>
      </c>
      <c r="I198" s="9">
        <f t="shared" si="15"/>
        <v>1524108600.3599999</v>
      </c>
      <c r="J198" s="9">
        <f t="shared" si="16"/>
        <v>7545831795.8999996</v>
      </c>
    </row>
    <row r="199" spans="2:10" x14ac:dyDescent="0.3">
      <c r="B199" s="9">
        <v>198</v>
      </c>
      <c r="C199" s="9">
        <v>2855645</v>
      </c>
      <c r="D199" s="9">
        <v>28556450</v>
      </c>
      <c r="E199" s="9">
        <v>38896</v>
      </c>
      <c r="F199" s="9">
        <v>194480</v>
      </c>
      <c r="G199" s="9">
        <f t="shared" si="13"/>
        <v>114191760711.60001</v>
      </c>
      <c r="H199" s="9">
        <f t="shared" si="14"/>
        <v>1141917607116</v>
      </c>
      <c r="I199" s="9">
        <f t="shared" si="15"/>
        <v>1555376359.6800001</v>
      </c>
      <c r="J199" s="9">
        <f t="shared" si="16"/>
        <v>7700637859.1999998</v>
      </c>
    </row>
    <row r="200" spans="2:10" x14ac:dyDescent="0.3">
      <c r="B200" s="9">
        <v>199</v>
      </c>
      <c r="C200" s="9">
        <v>2969871</v>
      </c>
      <c r="D200" s="9">
        <v>29698710</v>
      </c>
      <c r="E200" s="9">
        <v>39292</v>
      </c>
      <c r="F200" s="9">
        <v>196460</v>
      </c>
      <c r="G200" s="9">
        <f t="shared" si="13"/>
        <v>119962058700.42</v>
      </c>
      <c r="H200" s="9">
        <f t="shared" si="14"/>
        <v>1199620587004.2</v>
      </c>
      <c r="I200" s="9">
        <f t="shared" si="15"/>
        <v>1587122541.8399999</v>
      </c>
      <c r="J200" s="9">
        <f t="shared" si="16"/>
        <v>7857812584.6000004</v>
      </c>
    </row>
    <row r="201" spans="2:10" x14ac:dyDescent="0.3">
      <c r="B201" s="9">
        <v>200</v>
      </c>
      <c r="C201" s="9">
        <v>3088666</v>
      </c>
      <c r="D201" s="9">
        <v>30886660</v>
      </c>
      <c r="E201" s="9">
        <v>39690</v>
      </c>
      <c r="F201" s="9">
        <v>198450</v>
      </c>
      <c r="G201" s="9">
        <f t="shared" si="13"/>
        <v>126017572800</v>
      </c>
      <c r="H201" s="9">
        <f t="shared" si="14"/>
        <v>1260175728000</v>
      </c>
      <c r="I201" s="9">
        <f t="shared" si="15"/>
        <v>1619352000</v>
      </c>
      <c r="J201" s="9">
        <f t="shared" si="16"/>
        <v>8017380000</v>
      </c>
    </row>
    <row r="202" spans="2:10" x14ac:dyDescent="0.3">
      <c r="B202" s="9">
        <v>201</v>
      </c>
      <c r="C202" s="9">
        <v>3212213</v>
      </c>
      <c r="D202" s="9">
        <v>32122130</v>
      </c>
      <c r="E202" s="9">
        <v>40090</v>
      </c>
      <c r="F202" s="9">
        <v>200450</v>
      </c>
      <c r="G202" s="9">
        <f t="shared" si="13"/>
        <v>132372149761.26001</v>
      </c>
      <c r="H202" s="9">
        <f t="shared" si="14"/>
        <v>1323721497612.6001</v>
      </c>
      <c r="I202" s="9">
        <f t="shared" si="15"/>
        <v>1652069611.8000002</v>
      </c>
      <c r="J202" s="9">
        <f t="shared" si="16"/>
        <v>8179364254.5</v>
      </c>
    </row>
    <row r="203" spans="2:10" x14ac:dyDescent="0.3">
      <c r="B203" s="9">
        <v>202</v>
      </c>
      <c r="C203" s="9">
        <v>3340702</v>
      </c>
      <c r="D203" s="9">
        <v>33407020</v>
      </c>
      <c r="E203" s="9">
        <v>40492</v>
      </c>
      <c r="F203" s="9">
        <v>202460</v>
      </c>
      <c r="G203" s="9">
        <f t="shared" si="13"/>
        <v>139040284496.16</v>
      </c>
      <c r="H203" s="9">
        <f t="shared" si="14"/>
        <v>1390402844961.5999</v>
      </c>
      <c r="I203" s="9">
        <f t="shared" si="15"/>
        <v>1685280279.3599999</v>
      </c>
      <c r="J203" s="9">
        <f t="shared" si="16"/>
        <v>8343789618.4000006</v>
      </c>
    </row>
    <row r="204" spans="2:10" x14ac:dyDescent="0.3">
      <c r="B204" s="9">
        <v>203</v>
      </c>
      <c r="C204" s="9">
        <v>3340702</v>
      </c>
      <c r="D204" s="9">
        <v>33407020</v>
      </c>
      <c r="E204" s="9">
        <v>40492</v>
      </c>
      <c r="F204" s="9">
        <v>202460</v>
      </c>
      <c r="G204" s="9">
        <f t="shared" ref="G204:G267" si="17">C204*$B204*($B204*1.02)</f>
        <v>140420328492.36002</v>
      </c>
      <c r="H204" s="9">
        <f t="shared" ref="H204:H267" si="18">D204*$B204*($B204*1.02)</f>
        <v>1404203284923.6001</v>
      </c>
      <c r="I204" s="9">
        <f t="shared" ref="I204:I267" si="19">E204*$B204*($B204*1.02)</f>
        <v>1702007524.5599999</v>
      </c>
      <c r="J204" s="9">
        <f t="shared" si="16"/>
        <v>8426605881.3999996</v>
      </c>
    </row>
    <row r="205" spans="2:10" x14ac:dyDescent="0.3">
      <c r="B205" s="9">
        <v>204</v>
      </c>
      <c r="C205" s="9">
        <v>3474331</v>
      </c>
      <c r="D205" s="9">
        <v>34743310</v>
      </c>
      <c r="E205" s="9">
        <v>40896</v>
      </c>
      <c r="F205" s="9">
        <v>204480</v>
      </c>
      <c r="G205" s="9">
        <f t="shared" si="17"/>
        <v>147479514073.92001</v>
      </c>
      <c r="H205" s="9">
        <f t="shared" si="18"/>
        <v>1474795140739.2002</v>
      </c>
      <c r="I205" s="9">
        <f t="shared" si="19"/>
        <v>1735966494.72</v>
      </c>
      <c r="J205" s="9">
        <f t="shared" si="16"/>
        <v>8594736076.7999992</v>
      </c>
    </row>
    <row r="206" spans="2:10" x14ac:dyDescent="0.3">
      <c r="B206" s="9">
        <v>205</v>
      </c>
      <c r="C206" s="9">
        <v>3613305</v>
      </c>
      <c r="D206" s="9">
        <v>36133050</v>
      </c>
      <c r="E206" s="9">
        <v>41302</v>
      </c>
      <c r="F206" s="9">
        <v>206510</v>
      </c>
      <c r="G206" s="9">
        <f t="shared" si="17"/>
        <v>154886125477.5</v>
      </c>
      <c r="H206" s="9">
        <f t="shared" si="18"/>
        <v>1548861254775</v>
      </c>
      <c r="I206" s="9">
        <f t="shared" si="19"/>
        <v>1770430881</v>
      </c>
      <c r="J206" s="9">
        <f t="shared" si="16"/>
        <v>8765368577.5</v>
      </c>
    </row>
    <row r="207" spans="2:10" x14ac:dyDescent="0.3">
      <c r="B207" s="9">
        <v>206</v>
      </c>
      <c r="C207" s="9">
        <v>3757838</v>
      </c>
      <c r="D207" s="9">
        <v>37578380</v>
      </c>
      <c r="E207" s="9">
        <v>41710</v>
      </c>
      <c r="F207" s="9">
        <v>208550</v>
      </c>
      <c r="G207" s="9">
        <f t="shared" si="17"/>
        <v>162656965635.36002</v>
      </c>
      <c r="H207" s="9">
        <f t="shared" si="18"/>
        <v>1626569656353.6001</v>
      </c>
      <c r="I207" s="9">
        <f t="shared" si="19"/>
        <v>1805405671.2</v>
      </c>
      <c r="J207" s="9">
        <f t="shared" si="16"/>
        <v>8938528078</v>
      </c>
    </row>
    <row r="208" spans="2:10" x14ac:dyDescent="0.3">
      <c r="B208" s="9">
        <v>207</v>
      </c>
      <c r="C208" s="9">
        <v>3908152</v>
      </c>
      <c r="D208" s="9">
        <v>39081520</v>
      </c>
      <c r="E208" s="9">
        <v>42120</v>
      </c>
      <c r="F208" s="9">
        <v>210600</v>
      </c>
      <c r="G208" s="9">
        <f t="shared" si="17"/>
        <v>170809613148.96002</v>
      </c>
      <c r="H208" s="9">
        <f t="shared" si="18"/>
        <v>1708096131489.6001</v>
      </c>
      <c r="I208" s="9">
        <f t="shared" si="19"/>
        <v>1840895877.6000001</v>
      </c>
      <c r="J208" s="9">
        <f t="shared" si="16"/>
        <v>9114239394</v>
      </c>
    </row>
    <row r="209" spans="2:10" x14ac:dyDescent="0.3">
      <c r="B209" s="9">
        <v>208</v>
      </c>
      <c r="C209" s="9">
        <v>4064479</v>
      </c>
      <c r="D209" s="9">
        <v>40644790</v>
      </c>
      <c r="E209" s="9">
        <v>42532</v>
      </c>
      <c r="F209" s="9">
        <v>212660</v>
      </c>
      <c r="G209" s="9">
        <f t="shared" si="17"/>
        <v>179362531845.12</v>
      </c>
      <c r="H209" s="9">
        <f t="shared" si="18"/>
        <v>1793625318451.2</v>
      </c>
      <c r="I209" s="9">
        <f t="shared" si="19"/>
        <v>1876906536.96</v>
      </c>
      <c r="J209" s="9">
        <f t="shared" si="16"/>
        <v>9292527462.3999996</v>
      </c>
    </row>
    <row r="210" spans="2:10" x14ac:dyDescent="0.3">
      <c r="B210" s="9">
        <v>209</v>
      </c>
      <c r="C210" s="9">
        <v>4227059</v>
      </c>
      <c r="D210" s="9">
        <v>42270590</v>
      </c>
      <c r="E210" s="9">
        <v>42946</v>
      </c>
      <c r="F210" s="9">
        <v>214730</v>
      </c>
      <c r="G210" s="9">
        <f t="shared" si="17"/>
        <v>188335007462.58002</v>
      </c>
      <c r="H210" s="9">
        <f t="shared" si="18"/>
        <v>1883350074625.8</v>
      </c>
      <c r="I210" s="9">
        <f t="shared" si="19"/>
        <v>1913442710.52</v>
      </c>
      <c r="J210" s="9">
        <f t="shared" si="16"/>
        <v>9473417341.2999992</v>
      </c>
    </row>
    <row r="211" spans="2:10" x14ac:dyDescent="0.3">
      <c r="B211" s="9">
        <v>210</v>
      </c>
      <c r="C211" s="9">
        <v>4396142</v>
      </c>
      <c r="D211" s="9">
        <v>43961420</v>
      </c>
      <c r="E211" s="9">
        <v>43362</v>
      </c>
      <c r="F211" s="9">
        <v>216810</v>
      </c>
      <c r="G211" s="9">
        <f t="shared" si="17"/>
        <v>197747259444.00003</v>
      </c>
      <c r="H211" s="9">
        <f t="shared" si="18"/>
        <v>1977472594440.0002</v>
      </c>
      <c r="I211" s="9">
        <f t="shared" si="19"/>
        <v>1950509484.0000002</v>
      </c>
      <c r="J211" s="9">
        <f t="shared" si="16"/>
        <v>9656934210</v>
      </c>
    </row>
    <row r="212" spans="2:10" x14ac:dyDescent="0.3">
      <c r="B212" s="9">
        <v>211</v>
      </c>
      <c r="C212" s="9">
        <v>4571988</v>
      </c>
      <c r="D212" s="9">
        <v>45719880</v>
      </c>
      <c r="E212" s="9">
        <v>43780</v>
      </c>
      <c r="F212" s="9">
        <v>218900</v>
      </c>
      <c r="G212" s="9">
        <f t="shared" si="17"/>
        <v>207620467302.95999</v>
      </c>
      <c r="H212" s="9">
        <f t="shared" si="18"/>
        <v>2076204673029.6001</v>
      </c>
      <c r="I212" s="9">
        <f t="shared" si="19"/>
        <v>1988111967.5999999</v>
      </c>
      <c r="J212" s="9">
        <f t="shared" si="16"/>
        <v>9843103369</v>
      </c>
    </row>
    <row r="213" spans="2:10" x14ac:dyDescent="0.3">
      <c r="B213" s="9">
        <v>212</v>
      </c>
      <c r="C213" s="9">
        <v>4754868</v>
      </c>
      <c r="D213" s="9">
        <v>47548680</v>
      </c>
      <c r="E213" s="9">
        <v>44200</v>
      </c>
      <c r="F213" s="9">
        <v>221000</v>
      </c>
      <c r="G213" s="9">
        <f t="shared" si="17"/>
        <v>217976843139.84</v>
      </c>
      <c r="H213" s="9">
        <f t="shared" si="18"/>
        <v>2179768431398.4001</v>
      </c>
      <c r="I213" s="9">
        <f t="shared" si="19"/>
        <v>2026255296</v>
      </c>
      <c r="J213" s="9">
        <f t="shared" si="16"/>
        <v>10031950240</v>
      </c>
    </row>
    <row r="214" spans="2:10" x14ac:dyDescent="0.3">
      <c r="B214" s="9">
        <v>213</v>
      </c>
      <c r="C214" s="9">
        <v>4945063</v>
      </c>
      <c r="D214" s="9">
        <v>49450630</v>
      </c>
      <c r="E214" s="9">
        <v>44622</v>
      </c>
      <c r="F214" s="9">
        <v>223110</v>
      </c>
      <c r="G214" s="9">
        <f t="shared" si="17"/>
        <v>228839614511.94</v>
      </c>
      <c r="H214" s="9">
        <f t="shared" si="18"/>
        <v>2288396145119.3999</v>
      </c>
      <c r="I214" s="9">
        <f t="shared" si="19"/>
        <v>2064944628.3599999</v>
      </c>
      <c r="J214" s="9">
        <f t="shared" si="16"/>
        <v>10223500365.9</v>
      </c>
    </row>
    <row r="215" spans="2:10" x14ac:dyDescent="0.3">
      <c r="B215" s="9">
        <v>214</v>
      </c>
      <c r="C215" s="9">
        <v>5142866</v>
      </c>
      <c r="D215" s="9">
        <v>51428660</v>
      </c>
      <c r="E215" s="9">
        <v>45046</v>
      </c>
      <c r="F215" s="9">
        <v>225230</v>
      </c>
      <c r="G215" s="9">
        <f t="shared" si="17"/>
        <v>240233145162.72</v>
      </c>
      <c r="H215" s="9">
        <f t="shared" si="18"/>
        <v>2402331451627.2002</v>
      </c>
      <c r="I215" s="9">
        <f t="shared" si="19"/>
        <v>2104185148.3199999</v>
      </c>
      <c r="J215" s="9">
        <f t="shared" si="16"/>
        <v>10417779410.800001</v>
      </c>
    </row>
    <row r="216" spans="2:10" x14ac:dyDescent="0.3">
      <c r="B216" s="9">
        <v>215</v>
      </c>
      <c r="C216" s="9">
        <v>5348581</v>
      </c>
      <c r="D216" s="9">
        <v>53485810</v>
      </c>
      <c r="E216" s="9">
        <v>45472</v>
      </c>
      <c r="F216" s="9">
        <v>227360</v>
      </c>
      <c r="G216" s="9">
        <f t="shared" si="17"/>
        <v>252182919859.5</v>
      </c>
      <c r="H216" s="9">
        <f t="shared" si="18"/>
        <v>2521829198595</v>
      </c>
      <c r="I216" s="9">
        <f t="shared" si="19"/>
        <v>2143982064</v>
      </c>
      <c r="J216" s="9">
        <f t="shared" si="16"/>
        <v>10614813160</v>
      </c>
    </row>
    <row r="217" spans="2:10" x14ac:dyDescent="0.3">
      <c r="B217" s="9">
        <v>216</v>
      </c>
      <c r="C217" s="9">
        <v>5562525</v>
      </c>
      <c r="D217" s="9">
        <v>55625250</v>
      </c>
      <c r="E217" s="9">
        <v>45900</v>
      </c>
      <c r="F217" s="9">
        <v>229500</v>
      </c>
      <c r="G217" s="9">
        <f t="shared" si="17"/>
        <v>264715669728</v>
      </c>
      <c r="H217" s="9">
        <f t="shared" si="18"/>
        <v>2647156697280</v>
      </c>
      <c r="I217" s="9">
        <f t="shared" si="19"/>
        <v>2184340608</v>
      </c>
      <c r="J217" s="9">
        <f t="shared" si="16"/>
        <v>10814627520</v>
      </c>
    </row>
    <row r="218" spans="2:10" x14ac:dyDescent="0.3">
      <c r="B218" s="9">
        <v>217</v>
      </c>
      <c r="C218" s="9">
        <v>5785026</v>
      </c>
      <c r="D218" s="9">
        <v>57850260</v>
      </c>
      <c r="E218" s="9">
        <v>46331</v>
      </c>
      <c r="F218" s="9">
        <v>231655</v>
      </c>
      <c r="G218" s="9">
        <f t="shared" si="17"/>
        <v>277859311100.28003</v>
      </c>
      <c r="H218" s="9">
        <f t="shared" si="18"/>
        <v>2778593111002.7998</v>
      </c>
      <c r="I218" s="9">
        <f t="shared" si="19"/>
        <v>2225314068.1799998</v>
      </c>
      <c r="J218" s="9">
        <f t="shared" si="16"/>
        <v>11017486317.950001</v>
      </c>
    </row>
    <row r="219" spans="2:10" x14ac:dyDescent="0.3">
      <c r="B219" s="9">
        <v>218</v>
      </c>
      <c r="C219" s="9">
        <v>6016428</v>
      </c>
      <c r="D219" s="9">
        <v>60164280</v>
      </c>
      <c r="E219" s="9">
        <v>46763</v>
      </c>
      <c r="F219" s="9">
        <v>233815</v>
      </c>
      <c r="G219" s="9">
        <f t="shared" si="17"/>
        <v>291643218757.44</v>
      </c>
      <c r="H219" s="9">
        <f t="shared" si="18"/>
        <v>2916432187574.4004</v>
      </c>
      <c r="I219" s="9">
        <f t="shared" si="19"/>
        <v>2266812108.2400002</v>
      </c>
      <c r="J219" s="9">
        <f t="shared" si="16"/>
        <v>11222942300.6</v>
      </c>
    </row>
    <row r="220" spans="2:10" x14ac:dyDescent="0.3">
      <c r="B220" s="9">
        <v>219</v>
      </c>
      <c r="C220" s="9">
        <v>6257086</v>
      </c>
      <c r="D220" s="9">
        <v>62570860</v>
      </c>
      <c r="E220" s="9">
        <v>47197</v>
      </c>
      <c r="F220" s="9">
        <v>235985</v>
      </c>
      <c r="G220" s="9">
        <f t="shared" si="17"/>
        <v>306098023678.91998</v>
      </c>
      <c r="H220" s="9">
        <f t="shared" si="18"/>
        <v>3060980236789.1997</v>
      </c>
      <c r="I220" s="9">
        <f t="shared" si="19"/>
        <v>2308887623.3400002</v>
      </c>
      <c r="J220" s="9">
        <f t="shared" si="16"/>
        <v>11431257350.85</v>
      </c>
    </row>
    <row r="221" spans="2:10" x14ac:dyDescent="0.3">
      <c r="B221" s="9">
        <v>220</v>
      </c>
      <c r="C221" s="9">
        <v>6507370</v>
      </c>
      <c r="D221" s="9">
        <v>65073700</v>
      </c>
      <c r="E221" s="9">
        <v>47633</v>
      </c>
      <c r="F221" s="9">
        <v>238165</v>
      </c>
      <c r="G221" s="9">
        <f t="shared" si="17"/>
        <v>321255842160</v>
      </c>
      <c r="H221" s="9">
        <f t="shared" si="18"/>
        <v>3212558421600</v>
      </c>
      <c r="I221" s="9">
        <f t="shared" si="19"/>
        <v>2351545944</v>
      </c>
      <c r="J221" s="9">
        <f t="shared" si="16"/>
        <v>11642457860</v>
      </c>
    </row>
    <row r="222" spans="2:10" x14ac:dyDescent="0.3">
      <c r="B222" s="9">
        <v>221</v>
      </c>
      <c r="C222" s="9">
        <v>6767665</v>
      </c>
      <c r="D222" s="9">
        <v>67676650</v>
      </c>
      <c r="E222" s="9">
        <v>48071</v>
      </c>
      <c r="F222" s="9">
        <v>240355</v>
      </c>
      <c r="G222" s="9">
        <f t="shared" si="17"/>
        <v>337150316790.30005</v>
      </c>
      <c r="H222" s="9">
        <f t="shared" si="18"/>
        <v>3371503167903</v>
      </c>
      <c r="I222" s="9">
        <f t="shared" si="19"/>
        <v>2394792425.2200003</v>
      </c>
      <c r="J222" s="9">
        <f t="shared" si="16"/>
        <v>11856570340.550001</v>
      </c>
    </row>
    <row r="223" spans="2:10" x14ac:dyDescent="0.3">
      <c r="B223" s="9">
        <v>222</v>
      </c>
      <c r="C223" s="9">
        <v>7038372</v>
      </c>
      <c r="D223" s="9">
        <v>70383720</v>
      </c>
      <c r="E223" s="9">
        <v>48511</v>
      </c>
      <c r="F223" s="9">
        <v>242555</v>
      </c>
      <c r="G223" s="9">
        <f t="shared" si="17"/>
        <v>353816708160.96002</v>
      </c>
      <c r="H223" s="9">
        <f t="shared" si="18"/>
        <v>3538167081609.6001</v>
      </c>
      <c r="I223" s="9">
        <f t="shared" si="19"/>
        <v>2438632446.48</v>
      </c>
      <c r="J223" s="9">
        <f t="shared" si="16"/>
        <v>12073621426.200001</v>
      </c>
    </row>
    <row r="224" spans="2:10" x14ac:dyDescent="0.3">
      <c r="B224" s="9">
        <v>223</v>
      </c>
      <c r="C224" s="9">
        <v>7319907</v>
      </c>
      <c r="D224" s="9">
        <v>73199070</v>
      </c>
      <c r="E224" s="9">
        <v>48954</v>
      </c>
      <c r="F224" s="9">
        <v>244770</v>
      </c>
      <c r="G224" s="9">
        <f t="shared" si="17"/>
        <v>371291888307.06</v>
      </c>
      <c r="H224" s="9">
        <f t="shared" si="18"/>
        <v>3712918883070.6001</v>
      </c>
      <c r="I224" s="9">
        <f t="shared" si="19"/>
        <v>2483122135.3200002</v>
      </c>
      <c r="J224" s="9">
        <f t="shared" si="16"/>
        <v>12293889003.299999</v>
      </c>
    </row>
    <row r="225" spans="2:10" x14ac:dyDescent="0.3">
      <c r="B225" s="9">
        <v>224</v>
      </c>
      <c r="C225" s="9">
        <v>7612704</v>
      </c>
      <c r="D225" s="9">
        <v>76127040</v>
      </c>
      <c r="E225" s="9">
        <v>49398</v>
      </c>
      <c r="F225" s="9">
        <v>246990</v>
      </c>
      <c r="G225" s="9">
        <f t="shared" si="17"/>
        <v>389614536622.08002</v>
      </c>
      <c r="H225" s="9">
        <f t="shared" si="18"/>
        <v>3896145366220.8003</v>
      </c>
      <c r="I225" s="9">
        <f t="shared" si="19"/>
        <v>2528165928.96</v>
      </c>
      <c r="J225" s="9">
        <f t="shared" si="16"/>
        <v>12516899942.4</v>
      </c>
    </row>
    <row r="226" spans="2:10" x14ac:dyDescent="0.3">
      <c r="B226" s="9">
        <v>225</v>
      </c>
      <c r="C226" s="9">
        <v>7917213</v>
      </c>
      <c r="D226" s="9">
        <v>79172130</v>
      </c>
      <c r="E226" s="9">
        <v>49844</v>
      </c>
      <c r="F226" s="9">
        <v>249220</v>
      </c>
      <c r="G226" s="9">
        <f t="shared" si="17"/>
        <v>408825086287.5</v>
      </c>
      <c r="H226" s="9">
        <f t="shared" si="18"/>
        <v>4088250862875</v>
      </c>
      <c r="I226" s="9">
        <f t="shared" si="19"/>
        <v>2573819550</v>
      </c>
      <c r="J226" s="9">
        <f t="shared" si="16"/>
        <v>12742930125</v>
      </c>
    </row>
    <row r="227" spans="2:10" x14ac:dyDescent="0.3">
      <c r="B227" s="9">
        <v>226</v>
      </c>
      <c r="C227" s="9">
        <v>8233902</v>
      </c>
      <c r="D227" s="9">
        <v>82339020</v>
      </c>
      <c r="E227" s="9">
        <v>50292</v>
      </c>
      <c r="F227" s="9">
        <v>251460</v>
      </c>
      <c r="G227" s="9">
        <f t="shared" si="17"/>
        <v>428965874123.04004</v>
      </c>
      <c r="H227" s="9">
        <f t="shared" si="18"/>
        <v>4289658741230.4004</v>
      </c>
      <c r="I227" s="9">
        <f t="shared" si="19"/>
        <v>2620088475.8400002</v>
      </c>
      <c r="J227" s="9">
        <f t="shared" si="16"/>
        <v>12972006669.6</v>
      </c>
    </row>
    <row r="228" spans="2:10" x14ac:dyDescent="0.3">
      <c r="B228" s="9">
        <v>227</v>
      </c>
      <c r="C228" s="9">
        <v>8563259</v>
      </c>
      <c r="D228" s="9">
        <v>85632590</v>
      </c>
      <c r="E228" s="9">
        <v>50743</v>
      </c>
      <c r="F228" s="9">
        <v>253715</v>
      </c>
      <c r="G228" s="9">
        <f t="shared" si="17"/>
        <v>450081296471.21997</v>
      </c>
      <c r="H228" s="9">
        <f t="shared" si="18"/>
        <v>4500812964712.2002</v>
      </c>
      <c r="I228" s="9">
        <f t="shared" si="19"/>
        <v>2667030767.9400001</v>
      </c>
      <c r="J228" s="9">
        <f t="shared" si="16"/>
        <v>13204417037.35</v>
      </c>
    </row>
    <row r="229" spans="2:10" x14ac:dyDescent="0.3">
      <c r="B229" s="9">
        <v>228</v>
      </c>
      <c r="C229" s="9">
        <v>8905790</v>
      </c>
      <c r="D229" s="9">
        <v>89057900</v>
      </c>
      <c r="E229" s="9">
        <v>51195</v>
      </c>
      <c r="F229" s="9">
        <v>255975</v>
      </c>
      <c r="G229" s="9">
        <f t="shared" si="17"/>
        <v>472217759107.20001</v>
      </c>
      <c r="H229" s="9">
        <f t="shared" si="18"/>
        <v>4722177591072</v>
      </c>
      <c r="I229" s="9">
        <f t="shared" si="19"/>
        <v>2714547297.5999999</v>
      </c>
      <c r="J229" s="9">
        <f t="shared" si="16"/>
        <v>13439670444</v>
      </c>
    </row>
    <row r="230" spans="2:10" x14ac:dyDescent="0.3">
      <c r="B230" s="9">
        <v>229</v>
      </c>
      <c r="C230" s="9">
        <v>9262022</v>
      </c>
      <c r="D230" s="9">
        <v>92620220</v>
      </c>
      <c r="E230" s="9">
        <v>51649</v>
      </c>
      <c r="F230" s="9">
        <v>258245</v>
      </c>
      <c r="G230" s="9">
        <f t="shared" si="17"/>
        <v>495423889616.04004</v>
      </c>
      <c r="H230" s="9">
        <f t="shared" si="18"/>
        <v>4954238896160.4004</v>
      </c>
      <c r="I230" s="9">
        <f t="shared" si="19"/>
        <v>2762695713.1800003</v>
      </c>
      <c r="J230" s="9">
        <f t="shared" si="16"/>
        <v>13678052305.449999</v>
      </c>
    </row>
    <row r="231" spans="2:10" x14ac:dyDescent="0.3">
      <c r="B231" s="9">
        <v>230</v>
      </c>
      <c r="C231" s="9">
        <v>9632503</v>
      </c>
      <c r="D231" s="9">
        <v>96325030</v>
      </c>
      <c r="E231" s="9">
        <v>52106</v>
      </c>
      <c r="F231" s="9">
        <v>260530</v>
      </c>
      <c r="G231" s="9">
        <f t="shared" si="17"/>
        <v>519750596874</v>
      </c>
      <c r="H231" s="9">
        <f t="shared" si="18"/>
        <v>5197505968740</v>
      </c>
      <c r="I231" s="9">
        <f t="shared" si="19"/>
        <v>2811535548</v>
      </c>
      <c r="J231" s="9">
        <f t="shared" si="16"/>
        <v>13919857370</v>
      </c>
    </row>
    <row r="232" spans="2:10" x14ac:dyDescent="0.3">
      <c r="B232" s="9">
        <v>231</v>
      </c>
      <c r="C232" s="9">
        <v>10017804</v>
      </c>
      <c r="D232" s="9">
        <v>100178040</v>
      </c>
      <c r="E232" s="9">
        <v>52564</v>
      </c>
      <c r="F232" s="9">
        <v>262820</v>
      </c>
      <c r="G232" s="9">
        <f t="shared" si="17"/>
        <v>545251240028.88</v>
      </c>
      <c r="H232" s="9">
        <f t="shared" si="18"/>
        <v>5452512400288.7998</v>
      </c>
      <c r="I232" s="9">
        <f t="shared" si="19"/>
        <v>2860964956.0799999</v>
      </c>
      <c r="J232" s="9">
        <f t="shared" si="16"/>
        <v>14164581400.200001</v>
      </c>
    </row>
    <row r="233" spans="2:10" x14ac:dyDescent="0.3">
      <c r="B233" s="9">
        <v>232</v>
      </c>
      <c r="C233" s="9">
        <v>10418517</v>
      </c>
      <c r="D233" s="9">
        <v>104185170</v>
      </c>
      <c r="E233" s="9">
        <v>53024</v>
      </c>
      <c r="F233" s="9">
        <v>265120</v>
      </c>
      <c r="G233" s="9">
        <f t="shared" si="17"/>
        <v>571981584188.16003</v>
      </c>
      <c r="H233" s="9">
        <f t="shared" si="18"/>
        <v>5719815841881.6006</v>
      </c>
      <c r="I233" s="9">
        <f t="shared" si="19"/>
        <v>2911043051.52</v>
      </c>
      <c r="J233" s="9">
        <f t="shared" si="16"/>
        <v>14412517068.799999</v>
      </c>
    </row>
    <row r="234" spans="2:10" x14ac:dyDescent="0.3">
      <c r="B234" s="9">
        <v>233</v>
      </c>
      <c r="C234" s="9">
        <v>10835258</v>
      </c>
      <c r="D234" s="9">
        <v>108352580</v>
      </c>
      <c r="E234" s="9">
        <v>53487</v>
      </c>
      <c r="F234" s="9">
        <v>267435</v>
      </c>
      <c r="G234" s="9">
        <f t="shared" si="17"/>
        <v>600000027993.23999</v>
      </c>
      <c r="H234" s="9">
        <f t="shared" si="18"/>
        <v>6000000279932.4004</v>
      </c>
      <c r="I234" s="9">
        <f t="shared" si="19"/>
        <v>2961830857.8600001</v>
      </c>
      <c r="J234" s="9">
        <f t="shared" si="16"/>
        <v>14663966502.150002</v>
      </c>
    </row>
    <row r="235" spans="2:10" x14ac:dyDescent="0.3">
      <c r="B235" s="9">
        <v>234</v>
      </c>
      <c r="C235" s="9">
        <v>11268669</v>
      </c>
      <c r="D235" s="9">
        <v>112686690</v>
      </c>
      <c r="E235" s="9">
        <v>53951</v>
      </c>
      <c r="F235" s="9">
        <v>269755</v>
      </c>
      <c r="G235" s="9">
        <f t="shared" si="17"/>
        <v>629367784559.28003</v>
      </c>
      <c r="H235" s="9">
        <f t="shared" si="18"/>
        <v>6293677845592.7998</v>
      </c>
      <c r="I235" s="9">
        <f t="shared" si="19"/>
        <v>3013223775.1199999</v>
      </c>
      <c r="J235" s="9">
        <f t="shared" si="16"/>
        <v>14918411827.800001</v>
      </c>
    </row>
    <row r="236" spans="2:10" x14ac:dyDescent="0.3">
      <c r="B236" s="9">
        <v>235</v>
      </c>
      <c r="C236" s="9">
        <v>11719416</v>
      </c>
      <c r="D236" s="9">
        <v>117194160</v>
      </c>
      <c r="E236" s="9">
        <v>54417</v>
      </c>
      <c r="F236" s="9">
        <v>272085</v>
      </c>
      <c r="G236" s="9">
        <f t="shared" si="17"/>
        <v>660148843572</v>
      </c>
      <c r="H236" s="9">
        <f t="shared" si="18"/>
        <v>6601488435720</v>
      </c>
      <c r="I236" s="9">
        <f t="shared" si="19"/>
        <v>3065282401.5</v>
      </c>
      <c r="J236" s="9">
        <f t="shared" si="16"/>
        <v>15176153066.25</v>
      </c>
    </row>
    <row r="237" spans="2:10" x14ac:dyDescent="0.3">
      <c r="B237" s="9">
        <v>236</v>
      </c>
      <c r="C237" s="9">
        <v>12188193</v>
      </c>
      <c r="D237" s="9">
        <v>121881930</v>
      </c>
      <c r="E237" s="9">
        <v>54886</v>
      </c>
      <c r="F237" s="9">
        <v>274430</v>
      </c>
      <c r="G237" s="9">
        <f t="shared" si="17"/>
        <v>692410269274.55994</v>
      </c>
      <c r="H237" s="9">
        <f t="shared" si="18"/>
        <v>6924102692745.5996</v>
      </c>
      <c r="I237" s="9">
        <f t="shared" si="19"/>
        <v>3118069269.1199999</v>
      </c>
      <c r="J237" s="9">
        <f t="shared" si="16"/>
        <v>15437499812.800001</v>
      </c>
    </row>
    <row r="238" spans="2:10" x14ac:dyDescent="0.3">
      <c r="B238" s="9">
        <v>237</v>
      </c>
      <c r="C238" s="9">
        <v>12675721</v>
      </c>
      <c r="D238" s="9">
        <v>126757210</v>
      </c>
      <c r="E238" s="9">
        <v>55356</v>
      </c>
      <c r="F238" s="9">
        <v>276780</v>
      </c>
      <c r="G238" s="9">
        <f t="shared" si="17"/>
        <v>726222224305.97998</v>
      </c>
      <c r="H238" s="9">
        <f t="shared" si="18"/>
        <v>7262222243059.7998</v>
      </c>
      <c r="I238" s="9">
        <f t="shared" si="19"/>
        <v>3171476987.2800002</v>
      </c>
      <c r="J238" s="9">
        <f t="shared" si="16"/>
        <v>15701920378.200001</v>
      </c>
    </row>
    <row r="239" spans="2:10" x14ac:dyDescent="0.3">
      <c r="B239" s="9">
        <v>238</v>
      </c>
      <c r="C239" s="9">
        <v>13182750</v>
      </c>
      <c r="D239" s="9">
        <v>131827500</v>
      </c>
      <c r="E239" s="9">
        <v>55829</v>
      </c>
      <c r="F239" s="9">
        <v>279145</v>
      </c>
      <c r="G239" s="9">
        <f t="shared" si="17"/>
        <v>761658164820</v>
      </c>
      <c r="H239" s="9">
        <f t="shared" si="18"/>
        <v>7616581648200</v>
      </c>
      <c r="I239" s="9">
        <f t="shared" si="19"/>
        <v>3225625433.52</v>
      </c>
      <c r="J239" s="9">
        <f t="shared" si="16"/>
        <v>15970008273.799999</v>
      </c>
    </row>
    <row r="240" spans="2:10" x14ac:dyDescent="0.3">
      <c r="B240" s="9">
        <v>239</v>
      </c>
      <c r="C240" s="9">
        <v>13710060</v>
      </c>
      <c r="D240" s="9">
        <v>137100600</v>
      </c>
      <c r="E240" s="9">
        <v>56303</v>
      </c>
      <c r="F240" s="9">
        <v>281515</v>
      </c>
      <c r="G240" s="9">
        <f t="shared" si="17"/>
        <v>798794984005.19995</v>
      </c>
      <c r="H240" s="9">
        <f t="shared" si="18"/>
        <v>7987949840052</v>
      </c>
      <c r="I240" s="9">
        <f t="shared" si="19"/>
        <v>3280405336.2600002</v>
      </c>
      <c r="J240" s="9">
        <f t="shared" si="16"/>
        <v>16241222498.150002</v>
      </c>
    </row>
    <row r="241" spans="2:10" x14ac:dyDescent="0.3">
      <c r="B241" s="9">
        <v>240</v>
      </c>
      <c r="C241" s="9">
        <v>14258463</v>
      </c>
      <c r="D241" s="9">
        <v>142584630</v>
      </c>
      <c r="E241" s="9">
        <v>56780</v>
      </c>
      <c r="F241" s="9">
        <v>283900</v>
      </c>
      <c r="G241" s="9">
        <f t="shared" si="17"/>
        <v>837713218176</v>
      </c>
      <c r="H241" s="9">
        <f t="shared" si="18"/>
        <v>8377132181760</v>
      </c>
      <c r="I241" s="9">
        <f t="shared" si="19"/>
        <v>3335938560</v>
      </c>
      <c r="J241" s="9">
        <f t="shared" si="16"/>
        <v>16516166400</v>
      </c>
    </row>
    <row r="242" spans="2:10" x14ac:dyDescent="0.3">
      <c r="B242" s="9">
        <v>241</v>
      </c>
      <c r="C242" s="9">
        <v>14828802</v>
      </c>
      <c r="D242" s="9">
        <v>148288020</v>
      </c>
      <c r="E242" s="9">
        <v>57258</v>
      </c>
      <c r="F242" s="9">
        <v>286290</v>
      </c>
      <c r="G242" s="9">
        <f t="shared" si="17"/>
        <v>878497081941.23999</v>
      </c>
      <c r="H242" s="9">
        <f t="shared" si="18"/>
        <v>8784970819412.3994</v>
      </c>
      <c r="I242" s="9">
        <f t="shared" si="19"/>
        <v>3392113935.96</v>
      </c>
      <c r="J242" s="9">
        <f t="shared" si="16"/>
        <v>16794289584.9</v>
      </c>
    </row>
    <row r="243" spans="2:10" x14ac:dyDescent="0.3">
      <c r="B243" s="9">
        <v>242</v>
      </c>
      <c r="C243" s="9">
        <v>15421955</v>
      </c>
      <c r="D243" s="9">
        <v>154219550</v>
      </c>
      <c r="E243" s="9">
        <v>57739</v>
      </c>
      <c r="F243" s="9">
        <v>288695</v>
      </c>
      <c r="G243" s="9">
        <f t="shared" si="17"/>
        <v>921234800072.40002</v>
      </c>
      <c r="H243" s="9">
        <f t="shared" si="18"/>
        <v>9212348000724</v>
      </c>
      <c r="I243" s="9">
        <f t="shared" si="19"/>
        <v>3449055331.9200001</v>
      </c>
      <c r="J243" s="9">
        <f t="shared" si="16"/>
        <v>17076205319.800001</v>
      </c>
    </row>
    <row r="244" spans="2:10" x14ac:dyDescent="0.3">
      <c r="B244" s="9">
        <v>243</v>
      </c>
      <c r="C244" s="9">
        <v>16038834</v>
      </c>
      <c r="D244" s="9">
        <v>160388340</v>
      </c>
      <c r="E244" s="9">
        <v>58221</v>
      </c>
      <c r="F244" s="9">
        <v>291105</v>
      </c>
      <c r="G244" s="9">
        <f t="shared" si="17"/>
        <v>966018651043.32007</v>
      </c>
      <c r="H244" s="9">
        <f t="shared" si="18"/>
        <v>9660186510433.2012</v>
      </c>
      <c r="I244" s="9">
        <f t="shared" si="19"/>
        <v>3506649665.5800004</v>
      </c>
      <c r="J244" s="9">
        <f t="shared" si="16"/>
        <v>17361353736.450001</v>
      </c>
    </row>
    <row r="245" spans="2:10" x14ac:dyDescent="0.3">
      <c r="B245" s="9">
        <v>244</v>
      </c>
      <c r="C245" s="9">
        <v>16680388</v>
      </c>
      <c r="D245" s="9">
        <v>166803880</v>
      </c>
      <c r="E245" s="9">
        <v>58706</v>
      </c>
      <c r="F245" s="9">
        <v>293530</v>
      </c>
      <c r="G245" s="9">
        <f t="shared" si="17"/>
        <v>1012945251567.36</v>
      </c>
      <c r="H245" s="9">
        <f t="shared" si="18"/>
        <v>10129452515673.6</v>
      </c>
      <c r="I245" s="9">
        <f t="shared" si="19"/>
        <v>3565022824.3200002</v>
      </c>
      <c r="J245" s="9">
        <f t="shared" si="16"/>
        <v>17650358100.799999</v>
      </c>
    </row>
    <row r="246" spans="2:10" x14ac:dyDescent="0.3">
      <c r="B246" s="9">
        <v>245</v>
      </c>
      <c r="C246" s="9">
        <v>17347604</v>
      </c>
      <c r="D246" s="9">
        <v>173476040</v>
      </c>
      <c r="E246" s="9">
        <v>59192</v>
      </c>
      <c r="F246" s="9">
        <v>295960</v>
      </c>
      <c r="G246" s="9">
        <f t="shared" si="17"/>
        <v>1062115728702</v>
      </c>
      <c r="H246" s="9">
        <f t="shared" si="18"/>
        <v>10621157287020</v>
      </c>
      <c r="I246" s="9">
        <f t="shared" si="19"/>
        <v>3624059796</v>
      </c>
      <c r="J246" s="9">
        <f t="shared" si="16"/>
        <v>17942648990</v>
      </c>
    </row>
    <row r="247" spans="2:10" x14ac:dyDescent="0.3">
      <c r="B247" s="9">
        <v>246</v>
      </c>
      <c r="C247" s="9">
        <v>18041509</v>
      </c>
      <c r="D247" s="9">
        <v>180415090</v>
      </c>
      <c r="E247" s="9">
        <v>59681</v>
      </c>
      <c r="F247" s="9">
        <v>298405</v>
      </c>
      <c r="G247" s="9">
        <f t="shared" si="17"/>
        <v>1113635957816.8801</v>
      </c>
      <c r="H247" s="9">
        <f t="shared" si="18"/>
        <v>11136359578168.801</v>
      </c>
      <c r="I247" s="9">
        <f t="shared" si="19"/>
        <v>3683888503.9200001</v>
      </c>
      <c r="J247" s="9">
        <f t="shared" si="16"/>
        <v>18238859749.799999</v>
      </c>
    </row>
    <row r="248" spans="2:10" x14ac:dyDescent="0.3">
      <c r="B248" s="9">
        <v>247</v>
      </c>
      <c r="C248" s="9">
        <v>18763170</v>
      </c>
      <c r="D248" s="9">
        <v>187631700</v>
      </c>
      <c r="E248" s="9">
        <v>60171</v>
      </c>
      <c r="F248" s="9">
        <v>300855</v>
      </c>
      <c r="G248" s="9">
        <f t="shared" si="17"/>
        <v>1167616683300.6001</v>
      </c>
      <c r="H248" s="9">
        <f t="shared" si="18"/>
        <v>11676166833006</v>
      </c>
      <c r="I248" s="9">
        <f t="shared" si="19"/>
        <v>3744391989.7799997</v>
      </c>
      <c r="J248" s="9">
        <f t="shared" si="16"/>
        <v>18538411321.950001</v>
      </c>
    </row>
    <row r="249" spans="2:10" x14ac:dyDescent="0.3">
      <c r="B249" s="9">
        <v>248</v>
      </c>
      <c r="C249" s="9">
        <v>19513697</v>
      </c>
      <c r="D249" s="9">
        <v>195136970</v>
      </c>
      <c r="E249" s="9">
        <v>60664</v>
      </c>
      <c r="F249" s="9">
        <v>303320</v>
      </c>
      <c r="G249" s="9">
        <f t="shared" si="17"/>
        <v>1224173828693.76</v>
      </c>
      <c r="H249" s="9">
        <f t="shared" si="18"/>
        <v>12241738286937.6</v>
      </c>
      <c r="I249" s="9">
        <f t="shared" si="19"/>
        <v>3805700229.1199999</v>
      </c>
      <c r="J249" s="9">
        <f t="shared" si="16"/>
        <v>18841947212.799999</v>
      </c>
    </row>
    <row r="250" spans="2:10" x14ac:dyDescent="0.3">
      <c r="B250" s="9">
        <v>249</v>
      </c>
      <c r="C250" s="9">
        <v>20294245</v>
      </c>
      <c r="D250" s="9">
        <v>202942450</v>
      </c>
      <c r="E250" s="9">
        <v>61159</v>
      </c>
      <c r="F250" s="9">
        <v>305795</v>
      </c>
      <c r="G250" s="9">
        <f t="shared" si="17"/>
        <v>1283428753929.9001</v>
      </c>
      <c r="H250" s="9">
        <f t="shared" si="18"/>
        <v>12834287539299</v>
      </c>
      <c r="I250" s="9">
        <f t="shared" si="19"/>
        <v>3867757542.1800003</v>
      </c>
      <c r="J250" s="9">
        <f t="shared" si="16"/>
        <v>19149191752.950001</v>
      </c>
    </row>
    <row r="251" spans="2:10" x14ac:dyDescent="0.3">
      <c r="B251" s="9">
        <v>250</v>
      </c>
      <c r="C251" s="9">
        <v>21106015</v>
      </c>
      <c r="D251" s="9">
        <v>211060150</v>
      </c>
      <c r="E251" s="9">
        <v>61655</v>
      </c>
      <c r="F251" s="9">
        <v>308275</v>
      </c>
      <c r="G251" s="9">
        <f t="shared" si="17"/>
        <v>1345508456250</v>
      </c>
      <c r="H251" s="9">
        <f t="shared" si="18"/>
        <v>13455084562500</v>
      </c>
      <c r="I251" s="9">
        <f t="shared" si="19"/>
        <v>3930506250</v>
      </c>
      <c r="J251" s="9">
        <f t="shared" si="16"/>
        <v>19459859375</v>
      </c>
    </row>
    <row r="252" spans="2:10" x14ac:dyDescent="0.3">
      <c r="B252" s="9">
        <v>251</v>
      </c>
      <c r="C252" s="9">
        <v>21950256</v>
      </c>
      <c r="D252" s="9">
        <v>219502560</v>
      </c>
      <c r="E252" s="9">
        <v>62154</v>
      </c>
      <c r="F252" s="9">
        <v>310770</v>
      </c>
      <c r="G252" s="9">
        <f t="shared" si="17"/>
        <v>1410545839821.1199</v>
      </c>
      <c r="H252" s="9">
        <f t="shared" si="18"/>
        <v>14105458398211.199</v>
      </c>
      <c r="I252" s="9">
        <f t="shared" si="19"/>
        <v>3994079437.0799999</v>
      </c>
      <c r="J252" s="9">
        <f t="shared" si="16"/>
        <v>19774608977.700001</v>
      </c>
    </row>
    <row r="253" spans="2:10" x14ac:dyDescent="0.3">
      <c r="B253" s="9">
        <v>252</v>
      </c>
      <c r="C253" s="9">
        <v>22828267</v>
      </c>
      <c r="D253" s="9">
        <v>228282670</v>
      </c>
      <c r="E253" s="9">
        <v>62655</v>
      </c>
      <c r="F253" s="9">
        <v>313275</v>
      </c>
      <c r="G253" s="9">
        <f t="shared" si="17"/>
        <v>1478679992919.3601</v>
      </c>
      <c r="H253" s="9">
        <f t="shared" si="18"/>
        <v>14786799929193.602</v>
      </c>
      <c r="I253" s="9">
        <f t="shared" si="19"/>
        <v>4058419982.4000001</v>
      </c>
      <c r="J253" s="9">
        <f t="shared" si="16"/>
        <v>20093157756</v>
      </c>
    </row>
    <row r="254" spans="2:10" x14ac:dyDescent="0.3">
      <c r="B254" s="9">
        <v>253</v>
      </c>
      <c r="C254" s="9">
        <v>23741398</v>
      </c>
      <c r="D254" s="9">
        <v>237413980</v>
      </c>
      <c r="E254" s="9">
        <v>63157</v>
      </c>
      <c r="F254" s="9">
        <v>315785</v>
      </c>
      <c r="G254" s="9">
        <f t="shared" si="17"/>
        <v>1550056407473.6399</v>
      </c>
      <c r="H254" s="9">
        <f t="shared" si="18"/>
        <v>15500564074736.4</v>
      </c>
      <c r="I254" s="9">
        <f t="shared" si="19"/>
        <v>4123468741.2600002</v>
      </c>
      <c r="J254" s="9">
        <f t="shared" si="16"/>
        <v>20415212885.650002</v>
      </c>
    </row>
    <row r="255" spans="2:10" x14ac:dyDescent="0.3">
      <c r="B255" s="9">
        <v>254</v>
      </c>
      <c r="C255" s="9">
        <v>24691054</v>
      </c>
      <c r="D255" s="9">
        <v>246910540</v>
      </c>
      <c r="E255" s="9">
        <v>63662</v>
      </c>
      <c r="F255" s="9">
        <v>318310</v>
      </c>
      <c r="G255" s="9">
        <f t="shared" si="17"/>
        <v>1624827400661.2798</v>
      </c>
      <c r="H255" s="9">
        <f t="shared" si="18"/>
        <v>16248274006612.799</v>
      </c>
      <c r="I255" s="9">
        <f t="shared" si="19"/>
        <v>4189361943.8399997</v>
      </c>
      <c r="J255" s="9">
        <f t="shared" si="16"/>
        <v>20741448839.600002</v>
      </c>
    </row>
    <row r="256" spans="2:10" x14ac:dyDescent="0.3">
      <c r="B256" s="9">
        <v>255</v>
      </c>
      <c r="C256" s="9">
        <v>25678697</v>
      </c>
      <c r="D256" s="9">
        <v>256786970</v>
      </c>
      <c r="E256" s="9">
        <v>64169</v>
      </c>
      <c r="F256" s="9">
        <v>320845</v>
      </c>
      <c r="G256" s="9">
        <f t="shared" si="17"/>
        <v>1703152417873.5002</v>
      </c>
      <c r="H256" s="9">
        <f t="shared" si="18"/>
        <v>17031524178735.002</v>
      </c>
      <c r="I256" s="9">
        <f t="shared" si="19"/>
        <v>4256041009.5000005</v>
      </c>
      <c r="J256" s="9">
        <f t="shared" si="16"/>
        <v>21071575586.25</v>
      </c>
    </row>
    <row r="257" spans="2:10" x14ac:dyDescent="0.3">
      <c r="B257" s="9">
        <v>256</v>
      </c>
      <c r="C257" s="9">
        <v>26705845</v>
      </c>
      <c r="D257" s="9">
        <v>267058450</v>
      </c>
      <c r="E257" s="9">
        <v>64677</v>
      </c>
      <c r="F257" s="9">
        <v>323385</v>
      </c>
      <c r="G257" s="9">
        <f t="shared" si="17"/>
        <v>1785198143078.4001</v>
      </c>
      <c r="H257" s="9">
        <f t="shared" si="18"/>
        <v>17851981430784</v>
      </c>
      <c r="I257" s="9">
        <f t="shared" si="19"/>
        <v>4323445309.4400005</v>
      </c>
      <c r="J257" s="9">
        <f t="shared" si="16"/>
        <v>21405292953.599998</v>
      </c>
    </row>
    <row r="258" spans="2:10" x14ac:dyDescent="0.3">
      <c r="B258" s="9">
        <v>257</v>
      </c>
      <c r="C258" s="9">
        <v>27774079</v>
      </c>
      <c r="D258" s="9">
        <v>277740790</v>
      </c>
      <c r="E258" s="9">
        <v>65188</v>
      </c>
      <c r="F258" s="9">
        <v>325940</v>
      </c>
      <c r="G258" s="9">
        <f t="shared" si="17"/>
        <v>1871139146748.4199</v>
      </c>
      <c r="H258" s="9">
        <f t="shared" si="18"/>
        <v>18711391467484.199</v>
      </c>
      <c r="I258" s="9">
        <f t="shared" si="19"/>
        <v>4391714256.2399998</v>
      </c>
      <c r="J258" s="9">
        <f t="shared" si="16"/>
        <v>21743291170.599998</v>
      </c>
    </row>
    <row r="259" spans="2:10" x14ac:dyDescent="0.3">
      <c r="B259" s="9">
        <v>258</v>
      </c>
      <c r="C259" s="9">
        <v>28885043</v>
      </c>
      <c r="D259" s="9">
        <v>288850430</v>
      </c>
      <c r="E259" s="9">
        <v>65701</v>
      </c>
      <c r="F259" s="9">
        <v>328505</v>
      </c>
      <c r="G259" s="9">
        <f t="shared" si="17"/>
        <v>1961158082297.0403</v>
      </c>
      <c r="H259" s="9">
        <f t="shared" si="18"/>
        <v>19611580822970.402</v>
      </c>
      <c r="I259" s="9">
        <f t="shared" si="19"/>
        <v>4460787791.2800007</v>
      </c>
      <c r="J259" s="9">
        <f t="shared" si="16"/>
        <v>22085272888.199997</v>
      </c>
    </row>
    <row r="260" spans="2:10" x14ac:dyDescent="0.3">
      <c r="B260" s="9">
        <v>259</v>
      </c>
      <c r="C260" s="9">
        <v>30040445</v>
      </c>
      <c r="D260" s="9">
        <v>300404450</v>
      </c>
      <c r="E260" s="9">
        <v>66216</v>
      </c>
      <c r="F260" s="9">
        <v>331080</v>
      </c>
      <c r="G260" s="9">
        <f t="shared" si="17"/>
        <v>2055445952865.9001</v>
      </c>
      <c r="H260" s="9">
        <f t="shared" si="18"/>
        <v>20554459528659</v>
      </c>
      <c r="I260" s="9">
        <f t="shared" si="19"/>
        <v>4530672205.9200001</v>
      </c>
      <c r="J260" s="9">
        <f t="shared" ref="J260:J302" si="20">F260*$B260*($B260*1.01)</f>
        <v>22431269254.799999</v>
      </c>
    </row>
    <row r="261" spans="2:10" x14ac:dyDescent="0.3">
      <c r="B261" s="9">
        <v>260</v>
      </c>
      <c r="C261" s="9">
        <v>31242063</v>
      </c>
      <c r="D261" s="9">
        <v>312420630</v>
      </c>
      <c r="E261" s="9">
        <v>66733</v>
      </c>
      <c r="F261" s="9">
        <v>333665</v>
      </c>
      <c r="G261" s="9">
        <f t="shared" si="17"/>
        <v>2154202727976</v>
      </c>
      <c r="H261" s="9">
        <f t="shared" si="18"/>
        <v>21542027279760</v>
      </c>
      <c r="I261" s="9">
        <f t="shared" si="19"/>
        <v>4601373816</v>
      </c>
      <c r="J261" s="9">
        <f t="shared" si="20"/>
        <v>22781311540.000004</v>
      </c>
    </row>
    <row r="262" spans="2:10" x14ac:dyDescent="0.3">
      <c r="B262" s="9">
        <v>261</v>
      </c>
      <c r="C262" s="9">
        <v>32491746</v>
      </c>
      <c r="D262" s="9">
        <v>324917460</v>
      </c>
      <c r="E262" s="9">
        <v>67252</v>
      </c>
      <c r="F262" s="9">
        <v>336260</v>
      </c>
      <c r="G262" s="9">
        <f t="shared" si="17"/>
        <v>2257637633851.3203</v>
      </c>
      <c r="H262" s="9">
        <f t="shared" si="18"/>
        <v>22576376338513.203</v>
      </c>
      <c r="I262" s="9">
        <f t="shared" si="19"/>
        <v>4672898961.8400002</v>
      </c>
      <c r="J262" s="9">
        <f t="shared" si="20"/>
        <v>23135431134.600002</v>
      </c>
    </row>
    <row r="263" spans="2:10" x14ac:dyDescent="0.3">
      <c r="B263" s="9">
        <v>262</v>
      </c>
      <c r="C263" s="9">
        <v>33791416</v>
      </c>
      <c r="D263" s="9">
        <v>337914160</v>
      </c>
      <c r="E263" s="9">
        <v>67772</v>
      </c>
      <c r="F263" s="9">
        <v>338860</v>
      </c>
      <c r="G263" s="9">
        <f t="shared" si="17"/>
        <v>2365969519102.0801</v>
      </c>
      <c r="H263" s="9">
        <f t="shared" si="18"/>
        <v>23659695191020.801</v>
      </c>
      <c r="I263" s="9">
        <f t="shared" si="19"/>
        <v>4745183991.3600006</v>
      </c>
      <c r="J263" s="9">
        <f t="shared" si="20"/>
        <v>23493312898.400002</v>
      </c>
    </row>
    <row r="264" spans="2:10" x14ac:dyDescent="0.3">
      <c r="B264" s="9">
        <v>263</v>
      </c>
      <c r="C264" s="9">
        <v>35143073</v>
      </c>
      <c r="D264" s="9">
        <v>351430730</v>
      </c>
      <c r="E264" s="9">
        <v>68295</v>
      </c>
      <c r="F264" s="9">
        <v>341475</v>
      </c>
      <c r="G264" s="9">
        <f t="shared" si="17"/>
        <v>2479427440663.7397</v>
      </c>
      <c r="H264" s="9">
        <f t="shared" si="18"/>
        <v>24794274406637.398</v>
      </c>
      <c r="I264" s="9">
        <f t="shared" si="19"/>
        <v>4818374792.0999994</v>
      </c>
      <c r="J264" s="9">
        <f t="shared" si="20"/>
        <v>23855679117.75</v>
      </c>
    </row>
    <row r="265" spans="2:10" x14ac:dyDescent="0.3">
      <c r="B265" s="9">
        <v>264</v>
      </c>
      <c r="C265" s="9">
        <v>36548796</v>
      </c>
      <c r="D265" s="9">
        <v>365487960</v>
      </c>
      <c r="E265" s="9">
        <v>68820</v>
      </c>
      <c r="F265" s="9">
        <v>344100</v>
      </c>
      <c r="G265" s="9">
        <f t="shared" si="17"/>
        <v>2598250983736.3203</v>
      </c>
      <c r="H265" s="9">
        <f t="shared" si="18"/>
        <v>25982509837363.203</v>
      </c>
      <c r="I265" s="9">
        <f t="shared" si="19"/>
        <v>4892408294.4000006</v>
      </c>
      <c r="J265" s="9">
        <f t="shared" si="20"/>
        <v>24222217536</v>
      </c>
    </row>
    <row r="266" spans="2:10" x14ac:dyDescent="0.3">
      <c r="B266" s="9">
        <v>265</v>
      </c>
      <c r="C266" s="9">
        <v>38010748</v>
      </c>
      <c r="D266" s="9">
        <v>380107480</v>
      </c>
      <c r="E266" s="9">
        <v>69347</v>
      </c>
      <c r="F266" s="9">
        <v>346735</v>
      </c>
      <c r="G266" s="9">
        <f t="shared" si="17"/>
        <v>2722690873866</v>
      </c>
      <c r="H266" s="9">
        <f t="shared" si="18"/>
        <v>27226908738660</v>
      </c>
      <c r="I266" s="9">
        <f t="shared" si="19"/>
        <v>4967290936.5</v>
      </c>
      <c r="J266" s="9">
        <f t="shared" si="20"/>
        <v>24592960028.749996</v>
      </c>
    </row>
    <row r="267" spans="2:10" x14ac:dyDescent="0.3">
      <c r="B267" s="9">
        <v>266</v>
      </c>
      <c r="C267" s="9">
        <v>39531178</v>
      </c>
      <c r="D267" s="9">
        <v>395311780</v>
      </c>
      <c r="E267" s="9">
        <v>69876</v>
      </c>
      <c r="F267" s="9">
        <v>349380</v>
      </c>
      <c r="G267" s="9">
        <f t="shared" si="17"/>
        <v>2853009391179.3599</v>
      </c>
      <c r="H267" s="9">
        <f t="shared" si="18"/>
        <v>28530093911793.598</v>
      </c>
      <c r="I267" s="9">
        <f t="shared" si="19"/>
        <v>5043029181.1199999</v>
      </c>
      <c r="J267" s="9">
        <f t="shared" si="20"/>
        <v>24967938592.800003</v>
      </c>
    </row>
    <row r="268" spans="2:10" x14ac:dyDescent="0.3">
      <c r="B268" s="9">
        <v>267</v>
      </c>
      <c r="C268" s="9">
        <v>41112426</v>
      </c>
      <c r="D268" s="9">
        <v>411124260</v>
      </c>
      <c r="E268" s="9">
        <v>70407</v>
      </c>
      <c r="F268" s="9">
        <v>352035</v>
      </c>
      <c r="G268" s="9">
        <f t="shared" ref="G268:G302" si="21">C268*$B268*($B268*1.02)</f>
        <v>2989481011856.2803</v>
      </c>
      <c r="H268" s="9">
        <f t="shared" ref="H268:H302" si="22">D268*$B268*($B268*1.02)</f>
        <v>29894810118562.805</v>
      </c>
      <c r="I268" s="9">
        <f t="shared" ref="I268:I302" si="23">E268*$B268*($B268*1.02)</f>
        <v>5119629515.460001</v>
      </c>
      <c r="J268" s="9">
        <f t="shared" si="20"/>
        <v>25347185346.150002</v>
      </c>
    </row>
    <row r="269" spans="2:10" x14ac:dyDescent="0.3">
      <c r="B269" s="9">
        <v>268</v>
      </c>
      <c r="C269" s="9">
        <v>42756924</v>
      </c>
      <c r="D269" s="9">
        <v>427569240</v>
      </c>
      <c r="E269" s="9">
        <v>70940</v>
      </c>
      <c r="F269" s="9">
        <v>354700</v>
      </c>
      <c r="G269" s="9">
        <f t="shared" si="21"/>
        <v>3132392775563.52</v>
      </c>
      <c r="H269" s="9">
        <f t="shared" si="22"/>
        <v>31323927755635.203</v>
      </c>
      <c r="I269" s="9">
        <f t="shared" si="23"/>
        <v>5197098451.1999998</v>
      </c>
      <c r="J269" s="9">
        <f t="shared" si="20"/>
        <v>25730732528</v>
      </c>
    </row>
    <row r="270" spans="2:10" x14ac:dyDescent="0.3">
      <c r="B270" s="9">
        <v>269</v>
      </c>
      <c r="C270" s="9">
        <v>44467201</v>
      </c>
      <c r="D270" s="9">
        <v>444672010</v>
      </c>
      <c r="E270" s="9">
        <v>71475</v>
      </c>
      <c r="F270" s="9">
        <v>357375</v>
      </c>
      <c r="G270" s="9">
        <f t="shared" si="21"/>
        <v>3282044954192.2197</v>
      </c>
      <c r="H270" s="9">
        <f t="shared" si="22"/>
        <v>32820449541922.199</v>
      </c>
      <c r="I270" s="9">
        <f t="shared" si="23"/>
        <v>5275442524.5</v>
      </c>
      <c r="J270" s="9">
        <f t="shared" si="20"/>
        <v>26118612498.75</v>
      </c>
    </row>
    <row r="271" spans="2:10" x14ac:dyDescent="0.3">
      <c r="B271" s="9">
        <v>270</v>
      </c>
      <c r="C271" s="9">
        <v>46245890</v>
      </c>
      <c r="D271" s="9">
        <v>462458900</v>
      </c>
      <c r="E271" s="9">
        <v>72012</v>
      </c>
      <c r="F271" s="9">
        <v>360060</v>
      </c>
      <c r="G271" s="9">
        <f t="shared" si="21"/>
        <v>3438751888619.9995</v>
      </c>
      <c r="H271" s="9">
        <f t="shared" si="22"/>
        <v>34387518886199.996</v>
      </c>
      <c r="I271" s="9">
        <f t="shared" si="23"/>
        <v>5354668296</v>
      </c>
      <c r="J271" s="9">
        <f t="shared" si="20"/>
        <v>26510857740</v>
      </c>
    </row>
    <row r="272" spans="2:10" x14ac:dyDescent="0.3">
      <c r="B272" s="9">
        <v>271</v>
      </c>
      <c r="C272" s="9">
        <v>48095726</v>
      </c>
      <c r="D272" s="9">
        <v>480957260</v>
      </c>
      <c r="E272" s="9">
        <v>72551</v>
      </c>
      <c r="F272" s="9">
        <v>362755</v>
      </c>
      <c r="G272" s="9">
        <f t="shared" si="21"/>
        <v>3602842177429.3203</v>
      </c>
      <c r="H272" s="9">
        <f t="shared" si="22"/>
        <v>36028421774293.203</v>
      </c>
      <c r="I272" s="9">
        <f t="shared" si="23"/>
        <v>5434782350.8200006</v>
      </c>
      <c r="J272" s="9">
        <f t="shared" si="20"/>
        <v>26907500854.549999</v>
      </c>
    </row>
    <row r="273" spans="2:10" x14ac:dyDescent="0.3">
      <c r="B273" s="9">
        <v>272</v>
      </c>
      <c r="C273" s="9">
        <v>50019556</v>
      </c>
      <c r="D273" s="9">
        <v>500195560</v>
      </c>
      <c r="E273" s="9">
        <v>73092</v>
      </c>
      <c r="F273" s="9">
        <v>365460</v>
      </c>
      <c r="G273" s="9">
        <f t="shared" si="21"/>
        <v>3774659767726.0801</v>
      </c>
      <c r="H273" s="9">
        <f t="shared" si="22"/>
        <v>37746597677260.797</v>
      </c>
      <c r="I273" s="9">
        <f t="shared" si="23"/>
        <v>5515791298.5600004</v>
      </c>
      <c r="J273" s="9">
        <f t="shared" si="20"/>
        <v>27308574566.400002</v>
      </c>
    </row>
    <row r="274" spans="2:10" x14ac:dyDescent="0.3">
      <c r="B274" s="9">
        <v>273</v>
      </c>
      <c r="C274" s="9">
        <v>52020339</v>
      </c>
      <c r="D274" s="9">
        <v>520203390</v>
      </c>
      <c r="E274" s="9">
        <v>73635</v>
      </c>
      <c r="F274" s="9">
        <v>368175</v>
      </c>
      <c r="G274" s="9">
        <f t="shared" si="21"/>
        <v>3954564322237.6196</v>
      </c>
      <c r="H274" s="9">
        <f t="shared" si="22"/>
        <v>39545643222376.195</v>
      </c>
      <c r="I274" s="9">
        <f t="shared" si="23"/>
        <v>5597701773.2999992</v>
      </c>
      <c r="J274" s="9">
        <f t="shared" si="20"/>
        <v>27714111720.75</v>
      </c>
    </row>
    <row r="275" spans="2:10" x14ac:dyDescent="0.3">
      <c r="B275" s="9">
        <v>274</v>
      </c>
      <c r="C275" s="9">
        <v>54101153</v>
      </c>
      <c r="D275" s="9">
        <v>541011530</v>
      </c>
      <c r="E275" s="9">
        <v>74181</v>
      </c>
      <c r="F275" s="9">
        <v>370905</v>
      </c>
      <c r="G275" s="9">
        <f t="shared" si="21"/>
        <v>4142932125880.5601</v>
      </c>
      <c r="H275" s="9">
        <f t="shared" si="22"/>
        <v>41429321258805.602</v>
      </c>
      <c r="I275" s="9">
        <f t="shared" si="23"/>
        <v>5680597011.1200008</v>
      </c>
      <c r="J275" s="9">
        <f t="shared" si="20"/>
        <v>28124524417.799999</v>
      </c>
    </row>
    <row r="276" spans="2:10" x14ac:dyDescent="0.3">
      <c r="B276" s="9">
        <v>275</v>
      </c>
      <c r="C276" s="9">
        <v>56265200</v>
      </c>
      <c r="D276" s="9">
        <v>562652000</v>
      </c>
      <c r="E276" s="9">
        <v>74728</v>
      </c>
      <c r="F276" s="9">
        <v>373640</v>
      </c>
      <c r="G276" s="9">
        <f t="shared" si="21"/>
        <v>4340156865000</v>
      </c>
      <c r="H276" s="9">
        <f t="shared" si="22"/>
        <v>43401568650000</v>
      </c>
      <c r="I276" s="9">
        <f t="shared" si="23"/>
        <v>5764331100</v>
      </c>
      <c r="J276" s="9">
        <f t="shared" si="20"/>
        <v>28539090250</v>
      </c>
    </row>
    <row r="277" spans="2:10" x14ac:dyDescent="0.3">
      <c r="B277" s="9">
        <v>276</v>
      </c>
      <c r="C277" s="9">
        <v>58515808</v>
      </c>
      <c r="D277" s="9">
        <v>585158080</v>
      </c>
      <c r="E277" s="9">
        <v>75277</v>
      </c>
      <c r="F277" s="9">
        <v>376385</v>
      </c>
      <c r="G277" s="9">
        <f t="shared" si="21"/>
        <v>4546650194012.1602</v>
      </c>
      <c r="H277" s="9">
        <f t="shared" si="22"/>
        <v>45466501940121.594</v>
      </c>
      <c r="I277" s="9">
        <f t="shared" si="23"/>
        <v>5848986767.04</v>
      </c>
      <c r="J277" s="9">
        <f t="shared" si="20"/>
        <v>28958218797.599998</v>
      </c>
    </row>
    <row r="278" spans="2:10" x14ac:dyDescent="0.3">
      <c r="B278" s="9">
        <v>277</v>
      </c>
      <c r="C278" s="9">
        <v>60856441</v>
      </c>
      <c r="D278" s="9">
        <v>608564410</v>
      </c>
      <c r="E278" s="9">
        <v>75828</v>
      </c>
      <c r="F278" s="9">
        <v>379140</v>
      </c>
      <c r="G278" s="9">
        <f t="shared" si="21"/>
        <v>4762842938718.7803</v>
      </c>
      <c r="H278" s="9">
        <f t="shared" si="22"/>
        <v>47628429387187.805</v>
      </c>
      <c r="I278" s="9">
        <f t="shared" si="23"/>
        <v>5934570744.2400007</v>
      </c>
      <c r="J278" s="9">
        <f t="shared" si="20"/>
        <v>29381943390.599998</v>
      </c>
    </row>
    <row r="279" spans="2:10" x14ac:dyDescent="0.3">
      <c r="B279" s="9">
        <v>278</v>
      </c>
      <c r="C279" s="9">
        <v>63290699</v>
      </c>
      <c r="D279" s="9">
        <v>632906990</v>
      </c>
      <c r="E279" s="9">
        <v>76381</v>
      </c>
      <c r="F279" s="9">
        <v>381905</v>
      </c>
      <c r="G279" s="9">
        <f t="shared" si="21"/>
        <v>4989185549146.3203</v>
      </c>
      <c r="H279" s="9">
        <f t="shared" si="22"/>
        <v>49891855491463.203</v>
      </c>
      <c r="I279" s="9">
        <f t="shared" si="23"/>
        <v>6021089788.0799999</v>
      </c>
      <c r="J279" s="9">
        <f t="shared" si="20"/>
        <v>29810297480.200005</v>
      </c>
    </row>
    <row r="280" spans="2:10" x14ac:dyDescent="0.3">
      <c r="B280" s="9">
        <v>279</v>
      </c>
      <c r="C280" s="9">
        <v>65822327</v>
      </c>
      <c r="D280" s="9">
        <v>658223270</v>
      </c>
      <c r="E280" s="9">
        <v>76937</v>
      </c>
      <c r="F280" s="9">
        <v>384685</v>
      </c>
      <c r="G280" s="9">
        <f t="shared" si="21"/>
        <v>5226149271127.1396</v>
      </c>
      <c r="H280" s="9">
        <f t="shared" si="22"/>
        <v>52261492711271.398</v>
      </c>
      <c r="I280" s="9">
        <f t="shared" si="23"/>
        <v>6108630077.3399992</v>
      </c>
      <c r="J280" s="9">
        <f t="shared" si="20"/>
        <v>30243707735.850002</v>
      </c>
    </row>
    <row r="281" spans="2:10" x14ac:dyDescent="0.3">
      <c r="B281" s="9">
        <v>280</v>
      </c>
      <c r="C281" s="9">
        <v>68455221</v>
      </c>
      <c r="D281" s="9">
        <v>684552210</v>
      </c>
      <c r="E281" s="9">
        <v>77494</v>
      </c>
      <c r="F281" s="9">
        <v>387470</v>
      </c>
      <c r="G281" s="9">
        <f t="shared" si="21"/>
        <v>5474227112928</v>
      </c>
      <c r="H281" s="9">
        <f t="shared" si="22"/>
        <v>54742271129280.008</v>
      </c>
      <c r="I281" s="9">
        <f t="shared" si="23"/>
        <v>6197040192.000001</v>
      </c>
      <c r="J281" s="9">
        <f t="shared" si="20"/>
        <v>30681424480</v>
      </c>
    </row>
    <row r="282" spans="2:10" x14ac:dyDescent="0.3">
      <c r="B282" s="9">
        <v>281</v>
      </c>
      <c r="C282" s="9">
        <v>71193430</v>
      </c>
      <c r="D282" s="9">
        <v>711934300</v>
      </c>
      <c r="E282" s="9">
        <v>78053</v>
      </c>
      <c r="F282" s="9">
        <v>390265</v>
      </c>
      <c r="G282" s="9">
        <f t="shared" si="21"/>
        <v>5733934514754.5996</v>
      </c>
      <c r="H282" s="9">
        <f t="shared" si="22"/>
        <v>57339345147546</v>
      </c>
      <c r="I282" s="9">
        <f t="shared" si="23"/>
        <v>6286405791.6599998</v>
      </c>
      <c r="J282" s="9">
        <f t="shared" si="20"/>
        <v>31123871811.650002</v>
      </c>
    </row>
    <row r="283" spans="2:10" x14ac:dyDescent="0.3">
      <c r="B283" s="9">
        <v>282</v>
      </c>
      <c r="C283" s="9">
        <v>74041168</v>
      </c>
      <c r="D283" s="9">
        <v>740411680</v>
      </c>
      <c r="E283" s="9">
        <v>78614</v>
      </c>
      <c r="F283" s="9">
        <v>393070</v>
      </c>
      <c r="G283" s="9">
        <f t="shared" si="21"/>
        <v>6005810840912.6396</v>
      </c>
      <c r="H283" s="9">
        <f t="shared" si="22"/>
        <v>60058108409126.398</v>
      </c>
      <c r="I283" s="9">
        <f t="shared" si="23"/>
        <v>6376733730.7199993</v>
      </c>
      <c r="J283" s="9">
        <f t="shared" si="20"/>
        <v>31571083666.799999</v>
      </c>
    </row>
    <row r="284" spans="2:10" x14ac:dyDescent="0.3">
      <c r="B284" s="9">
        <v>283</v>
      </c>
      <c r="C284" s="9">
        <v>77002815</v>
      </c>
      <c r="D284" s="9">
        <v>770028150</v>
      </c>
      <c r="E284" s="9">
        <v>79178</v>
      </c>
      <c r="F284" s="9">
        <v>395890</v>
      </c>
      <c r="G284" s="9">
        <f t="shared" si="21"/>
        <v>6290420019545.7002</v>
      </c>
      <c r="H284" s="9">
        <f t="shared" si="22"/>
        <v>62904200195457.008</v>
      </c>
      <c r="I284" s="9">
        <f t="shared" si="23"/>
        <v>6468112578.8400002</v>
      </c>
      <c r="J284" s="9">
        <f t="shared" si="20"/>
        <v>32023498552.099998</v>
      </c>
    </row>
    <row r="285" spans="2:10" x14ac:dyDescent="0.3">
      <c r="B285" s="9">
        <v>284</v>
      </c>
      <c r="C285" s="9">
        <v>80082928</v>
      </c>
      <c r="D285" s="9">
        <v>800829280</v>
      </c>
      <c r="E285" s="9">
        <v>79743</v>
      </c>
      <c r="F285" s="9">
        <v>398715</v>
      </c>
      <c r="G285" s="9">
        <f t="shared" si="21"/>
        <v>6588352013583.3604</v>
      </c>
      <c r="H285" s="9">
        <f t="shared" si="22"/>
        <v>65883520135833.602</v>
      </c>
      <c r="I285" s="9">
        <f t="shared" si="23"/>
        <v>6560386436.1599998</v>
      </c>
      <c r="J285" s="9">
        <f t="shared" si="20"/>
        <v>32480344610.399998</v>
      </c>
    </row>
    <row r="286" spans="2:10" x14ac:dyDescent="0.3">
      <c r="B286" s="9">
        <v>285</v>
      </c>
      <c r="C286" s="9">
        <v>83286246</v>
      </c>
      <c r="D286" s="9">
        <v>832862460</v>
      </c>
      <c r="E286" s="9">
        <v>80311</v>
      </c>
      <c r="F286" s="9">
        <v>401555</v>
      </c>
      <c r="G286" s="9">
        <f t="shared" si="21"/>
        <v>6900223837977</v>
      </c>
      <c r="H286" s="9">
        <f t="shared" si="22"/>
        <v>69002238379770</v>
      </c>
      <c r="I286" s="9">
        <f t="shared" si="23"/>
        <v>6653726194.5</v>
      </c>
      <c r="J286" s="9">
        <f t="shared" si="20"/>
        <v>32942467923.750004</v>
      </c>
    </row>
    <row r="287" spans="2:10" x14ac:dyDescent="0.3">
      <c r="B287" s="9">
        <v>286</v>
      </c>
      <c r="C287" s="9">
        <v>86617696</v>
      </c>
      <c r="D287" s="9">
        <v>866176960</v>
      </c>
      <c r="E287" s="9">
        <v>80880</v>
      </c>
      <c r="F287" s="9">
        <v>404400</v>
      </c>
      <c r="G287" s="9">
        <f t="shared" si="21"/>
        <v>7226680683256.3203</v>
      </c>
      <c r="H287" s="9">
        <f t="shared" si="22"/>
        <v>72266806832563.203</v>
      </c>
      <c r="I287" s="9">
        <f t="shared" si="23"/>
        <v>6747973689.6000004</v>
      </c>
      <c r="J287" s="9">
        <f t="shared" si="20"/>
        <v>33409085424</v>
      </c>
    </row>
    <row r="288" spans="2:10" x14ac:dyDescent="0.3">
      <c r="B288" s="9">
        <v>287</v>
      </c>
      <c r="C288" s="9">
        <v>90082404</v>
      </c>
      <c r="D288" s="9">
        <v>900824040</v>
      </c>
      <c r="E288" s="9">
        <v>81451</v>
      </c>
      <c r="F288" s="9">
        <v>407255</v>
      </c>
      <c r="G288" s="9">
        <f t="shared" si="21"/>
        <v>7568397485777.5205</v>
      </c>
      <c r="H288" s="9">
        <f t="shared" si="22"/>
        <v>75683974857775.203</v>
      </c>
      <c r="I288" s="9">
        <f t="shared" si="23"/>
        <v>6843218167.3800001</v>
      </c>
      <c r="J288" s="9">
        <f t="shared" si="20"/>
        <v>33880638965.950001</v>
      </c>
    </row>
    <row r="289" spans="2:10" x14ac:dyDescent="0.3">
      <c r="B289" s="9">
        <v>288</v>
      </c>
      <c r="C289" s="9">
        <v>93685701</v>
      </c>
      <c r="D289" s="9">
        <v>936857010</v>
      </c>
      <c r="E289" s="9">
        <v>82025</v>
      </c>
      <c r="F289" s="9">
        <v>410125</v>
      </c>
      <c r="G289" s="9">
        <f t="shared" si="21"/>
        <v>7926080119418.8799</v>
      </c>
      <c r="H289" s="9">
        <f t="shared" si="22"/>
        <v>79260801194188.797</v>
      </c>
      <c r="I289" s="9">
        <f t="shared" si="23"/>
        <v>6939551232</v>
      </c>
      <c r="J289" s="9">
        <f t="shared" si="20"/>
        <v>34357582080</v>
      </c>
    </row>
    <row r="290" spans="2:10" x14ac:dyDescent="0.3">
      <c r="B290" s="9">
        <v>289</v>
      </c>
      <c r="C290" s="9">
        <v>97433130</v>
      </c>
      <c r="D290" s="9">
        <v>974331300</v>
      </c>
      <c r="E290" s="9">
        <v>82600</v>
      </c>
      <c r="F290" s="9">
        <v>413000</v>
      </c>
      <c r="G290" s="9">
        <f t="shared" si="21"/>
        <v>8300466699744.6006</v>
      </c>
      <c r="H290" s="9">
        <f t="shared" si="22"/>
        <v>83004666997446.016</v>
      </c>
      <c r="I290" s="9">
        <f t="shared" si="23"/>
        <v>7036811292.000001</v>
      </c>
      <c r="J290" s="9">
        <f t="shared" si="20"/>
        <v>34839114730</v>
      </c>
    </row>
    <row r="291" spans="2:10" x14ac:dyDescent="0.3">
      <c r="B291" s="9">
        <v>290</v>
      </c>
      <c r="C291" s="9">
        <v>101330456</v>
      </c>
      <c r="D291" s="9">
        <v>1013304560</v>
      </c>
      <c r="E291" s="9">
        <v>83178</v>
      </c>
      <c r="F291" s="9">
        <v>415890</v>
      </c>
      <c r="G291" s="9">
        <f t="shared" si="21"/>
        <v>8692329176592</v>
      </c>
      <c r="H291" s="9">
        <f t="shared" si="22"/>
        <v>86923291765920</v>
      </c>
      <c r="I291" s="9">
        <f t="shared" si="23"/>
        <v>7135175196</v>
      </c>
      <c r="J291" s="9">
        <f t="shared" si="20"/>
        <v>35326112490</v>
      </c>
    </row>
    <row r="292" spans="2:10" x14ac:dyDescent="0.3">
      <c r="B292" s="9">
        <v>291</v>
      </c>
      <c r="C292" s="9">
        <v>105383675</v>
      </c>
      <c r="D292" s="9">
        <v>1053836750</v>
      </c>
      <c r="E292" s="9">
        <v>83758</v>
      </c>
      <c r="F292" s="9">
        <v>418790</v>
      </c>
      <c r="G292" s="9">
        <f t="shared" si="21"/>
        <v>9102474882328.5</v>
      </c>
      <c r="H292" s="9">
        <f t="shared" si="22"/>
        <v>91024748823285</v>
      </c>
      <c r="I292" s="9">
        <f t="shared" si="23"/>
        <v>7234565421.96</v>
      </c>
      <c r="J292" s="9">
        <f t="shared" si="20"/>
        <v>35818191549.900002</v>
      </c>
    </row>
    <row r="293" spans="2:10" x14ac:dyDescent="0.3">
      <c r="B293" s="9">
        <v>292</v>
      </c>
      <c r="C293" s="9">
        <v>109599022</v>
      </c>
      <c r="D293" s="9">
        <v>1095990220</v>
      </c>
      <c r="E293" s="9">
        <v>84339</v>
      </c>
      <c r="F293" s="9">
        <v>421695</v>
      </c>
      <c r="G293" s="9">
        <f t="shared" si="21"/>
        <v>9531748032044.1602</v>
      </c>
      <c r="H293" s="9">
        <f t="shared" si="22"/>
        <v>95317480320441.609</v>
      </c>
      <c r="I293" s="9">
        <f t="shared" si="23"/>
        <v>7334902105.920001</v>
      </c>
      <c r="J293" s="9">
        <f t="shared" si="20"/>
        <v>36314956504.800003</v>
      </c>
    </row>
    <row r="294" spans="2:10" x14ac:dyDescent="0.3">
      <c r="B294" s="9">
        <v>293</v>
      </c>
      <c r="C294" s="9">
        <v>113982983</v>
      </c>
      <c r="D294" s="9">
        <v>1139829830</v>
      </c>
      <c r="E294" s="9">
        <v>84923</v>
      </c>
      <c r="F294" s="9">
        <v>424615</v>
      </c>
      <c r="G294" s="9">
        <f t="shared" si="21"/>
        <v>9981031609718.3398</v>
      </c>
      <c r="H294" s="9">
        <f t="shared" si="22"/>
        <v>99810316097183.406</v>
      </c>
      <c r="I294" s="9">
        <f t="shared" si="23"/>
        <v>7436365719.54</v>
      </c>
      <c r="J294" s="9">
        <f t="shared" si="20"/>
        <v>36817300866.349998</v>
      </c>
    </row>
    <row r="295" spans="2:10" x14ac:dyDescent="0.3">
      <c r="B295" s="9">
        <v>294</v>
      </c>
      <c r="C295" s="9">
        <v>118542303</v>
      </c>
      <c r="D295" s="9">
        <v>1185423030</v>
      </c>
      <c r="E295" s="9">
        <v>85508</v>
      </c>
      <c r="F295" s="9">
        <v>427540</v>
      </c>
      <c r="G295" s="9">
        <f t="shared" si="21"/>
        <v>10451248952150.16</v>
      </c>
      <c r="H295" s="9">
        <f t="shared" si="22"/>
        <v>104512489521501.59</v>
      </c>
      <c r="I295" s="9">
        <f t="shared" si="23"/>
        <v>7538788877.7600002</v>
      </c>
      <c r="J295" s="9">
        <f t="shared" si="20"/>
        <v>37324395914.400002</v>
      </c>
    </row>
    <row r="296" spans="2:10" x14ac:dyDescent="0.3">
      <c r="B296" s="9">
        <v>295</v>
      </c>
      <c r="C296" s="9">
        <v>123283996</v>
      </c>
      <c r="D296" s="9">
        <v>1232839960</v>
      </c>
      <c r="E296" s="9">
        <v>86096</v>
      </c>
      <c r="F296" s="9">
        <v>430480</v>
      </c>
      <c r="G296" s="9">
        <f t="shared" si="21"/>
        <v>10943365546938</v>
      </c>
      <c r="H296" s="9">
        <f t="shared" si="22"/>
        <v>109433655469379.98</v>
      </c>
      <c r="I296" s="9">
        <f t="shared" si="23"/>
        <v>7642354487.999999</v>
      </c>
      <c r="J296" s="9">
        <f t="shared" si="20"/>
        <v>37837147220</v>
      </c>
    </row>
    <row r="297" spans="2:10" x14ac:dyDescent="0.3">
      <c r="B297" s="9">
        <v>296</v>
      </c>
      <c r="C297" s="9">
        <v>128215356</v>
      </c>
      <c r="D297" s="9">
        <v>1282153560</v>
      </c>
      <c r="E297" s="9">
        <v>86686</v>
      </c>
      <c r="F297" s="9">
        <v>433430</v>
      </c>
      <c r="G297" s="9">
        <f t="shared" si="21"/>
        <v>11458390963921.92</v>
      </c>
      <c r="H297" s="9">
        <f t="shared" si="22"/>
        <v>114583909639219.2</v>
      </c>
      <c r="I297" s="9">
        <f t="shared" si="23"/>
        <v>7746982187.5200005</v>
      </c>
      <c r="J297" s="9">
        <f t="shared" si="20"/>
        <v>38355156908.799995</v>
      </c>
    </row>
    <row r="298" spans="2:10" x14ac:dyDescent="0.3">
      <c r="B298" s="9">
        <v>297</v>
      </c>
      <c r="C298" s="9">
        <v>133343971</v>
      </c>
      <c r="D298" s="9">
        <v>1333439710</v>
      </c>
      <c r="E298" s="9">
        <v>87278</v>
      </c>
      <c r="F298" s="9">
        <v>436390</v>
      </c>
      <c r="G298" s="9">
        <f t="shared" si="21"/>
        <v>11997381104697.779</v>
      </c>
      <c r="H298" s="9">
        <f t="shared" si="22"/>
        <v>119973811046977.8</v>
      </c>
      <c r="I298" s="9">
        <f t="shared" si="23"/>
        <v>7852679204.04</v>
      </c>
      <c r="J298" s="9">
        <f t="shared" si="20"/>
        <v>38878460765.100006</v>
      </c>
    </row>
    <row r="299" spans="2:10" x14ac:dyDescent="0.3">
      <c r="B299" s="9">
        <v>298</v>
      </c>
      <c r="C299" s="9">
        <v>138677730</v>
      </c>
      <c r="D299" s="9">
        <v>1386777300</v>
      </c>
      <c r="E299" s="9">
        <v>87871</v>
      </c>
      <c r="F299" s="9">
        <v>439355</v>
      </c>
      <c r="G299" s="9">
        <f t="shared" si="21"/>
        <v>12561439877618.398</v>
      </c>
      <c r="H299" s="9">
        <f t="shared" si="22"/>
        <v>125614398776183.98</v>
      </c>
      <c r="I299" s="9">
        <f t="shared" si="23"/>
        <v>7959362209.6799994</v>
      </c>
      <c r="J299" s="9">
        <f t="shared" si="20"/>
        <v>39406646234.200005</v>
      </c>
    </row>
    <row r="300" spans="2:10" x14ac:dyDescent="0.3">
      <c r="B300" s="9">
        <v>299</v>
      </c>
      <c r="C300" s="9">
        <v>144224840</v>
      </c>
      <c r="D300" s="9">
        <v>1442248400</v>
      </c>
      <c r="E300" s="9">
        <v>88467</v>
      </c>
      <c r="F300" s="9">
        <v>442335</v>
      </c>
      <c r="G300" s="9">
        <f t="shared" si="21"/>
        <v>13151721819256.801</v>
      </c>
      <c r="H300" s="9">
        <f t="shared" si="22"/>
        <v>131517218192568.02</v>
      </c>
      <c r="I300" s="9">
        <f t="shared" si="23"/>
        <v>8067219032.3400002</v>
      </c>
      <c r="J300" s="9">
        <f t="shared" si="20"/>
        <v>39940643248.349998</v>
      </c>
    </row>
    <row r="301" spans="2:10" x14ac:dyDescent="0.3">
      <c r="B301" s="9">
        <v>300</v>
      </c>
      <c r="C301" s="9">
        <v>149993834</v>
      </c>
      <c r="D301" s="9">
        <v>1499938340</v>
      </c>
      <c r="E301" s="9">
        <v>89065</v>
      </c>
      <c r="F301" s="9">
        <v>445325</v>
      </c>
      <c r="G301" s="9">
        <f t="shared" si="21"/>
        <v>13769433961200</v>
      </c>
      <c r="H301" s="9">
        <f t="shared" si="22"/>
        <v>137694339612000</v>
      </c>
      <c r="I301" s="9">
        <f t="shared" si="23"/>
        <v>8176167000</v>
      </c>
      <c r="J301" s="9">
        <f t="shared" si="20"/>
        <v>40480042500</v>
      </c>
    </row>
    <row r="302" spans="2:10" x14ac:dyDescent="0.3">
      <c r="B302" s="9">
        <v>301</v>
      </c>
      <c r="C302" s="9">
        <v>155993588</v>
      </c>
      <c r="D302" s="9">
        <v>1559935880</v>
      </c>
      <c r="E302" s="9">
        <v>89665</v>
      </c>
      <c r="F302" s="9">
        <v>448325</v>
      </c>
      <c r="G302" s="9">
        <f t="shared" si="21"/>
        <v>14415838567715.76</v>
      </c>
      <c r="H302" s="9">
        <f t="shared" si="22"/>
        <v>144158385677157.59</v>
      </c>
      <c r="I302" s="9">
        <f t="shared" si="23"/>
        <v>8286213438.2999992</v>
      </c>
      <c r="J302" s="9">
        <f t="shared" si="20"/>
        <v>41024880258.25</v>
      </c>
    </row>
    <row r="303" spans="2:10" x14ac:dyDescent="0.3">
      <c r="H303" s="9"/>
    </row>
    <row r="304" spans="2:10" x14ac:dyDescent="0.3">
      <c r="H304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2"/>
  <sheetViews>
    <sheetView workbookViewId="0">
      <selection activeCell="G18" sqref="G18"/>
    </sheetView>
  </sheetViews>
  <sheetFormatPr defaultColWidth="3.5" defaultRowHeight="16.5" x14ac:dyDescent="0.3"/>
  <cols>
    <col min="1" max="1" width="7.375" bestFit="1" customWidth="1"/>
    <col min="2" max="2" width="11.875" bestFit="1" customWidth="1"/>
    <col min="3" max="3" width="14.875" bestFit="1" customWidth="1"/>
    <col min="4" max="4" width="16.125" bestFit="1" customWidth="1"/>
    <col min="5" max="5" width="18.625" bestFit="1" customWidth="1"/>
    <col min="6" max="6" width="19.375" bestFit="1" customWidth="1"/>
    <col min="7" max="7" width="23.5" bestFit="1" customWidth="1"/>
    <col min="8" max="8" width="18" bestFit="1" customWidth="1"/>
    <col min="9" max="9" width="14.875" bestFit="1" customWidth="1"/>
    <col min="10" max="10" width="19" bestFit="1" customWidth="1"/>
    <col min="11" max="11" width="20.5" bestFit="1" customWidth="1"/>
    <col min="12" max="12" width="16.125" bestFit="1" customWidth="1"/>
  </cols>
  <sheetData>
    <row r="1" spans="1:12" ht="17.25" thickBot="1" x14ac:dyDescent="0.35">
      <c r="A1" s="2" t="s">
        <v>171</v>
      </c>
      <c r="B1" s="2" t="s">
        <v>85</v>
      </c>
      <c r="C1" s="2" t="s">
        <v>69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135</v>
      </c>
      <c r="I1" s="2" t="s">
        <v>136</v>
      </c>
      <c r="J1" s="2" t="s">
        <v>172</v>
      </c>
      <c r="K1" s="2" t="s">
        <v>174</v>
      </c>
      <c r="L1" s="2" t="s">
        <v>173</v>
      </c>
    </row>
    <row r="2" spans="1:12" x14ac:dyDescent="0.3">
      <c r="A2" s="12">
        <v>1</v>
      </c>
      <c r="B2" s="12">
        <v>1</v>
      </c>
      <c r="C2" s="1">
        <v>28</v>
      </c>
      <c r="D2" s="1">
        <v>50</v>
      </c>
      <c r="E2" s="1">
        <v>50</v>
      </c>
      <c r="F2" s="1" t="s">
        <v>83</v>
      </c>
      <c r="G2" s="4">
        <v>0.05</v>
      </c>
      <c r="H2" s="1">
        <v>50</v>
      </c>
      <c r="I2" s="1" t="s">
        <v>83</v>
      </c>
      <c r="J2" s="4">
        <v>0.05</v>
      </c>
      <c r="K2" s="4" t="s">
        <v>175</v>
      </c>
      <c r="L2" s="16">
        <v>1000</v>
      </c>
    </row>
    <row r="3" spans="1:12" x14ac:dyDescent="0.3">
      <c r="A3" s="12">
        <v>2</v>
      </c>
      <c r="B3" s="12">
        <v>2</v>
      </c>
      <c r="C3" s="1">
        <v>42</v>
      </c>
      <c r="D3" s="1">
        <f>$D$2*A3+(D2+(A3*$D$2))</f>
        <v>250</v>
      </c>
      <c r="E3" s="1">
        <v>65</v>
      </c>
      <c r="F3" s="1" t="s">
        <v>83</v>
      </c>
      <c r="G3" s="4">
        <v>0.05</v>
      </c>
      <c r="H3" s="1">
        <v>65</v>
      </c>
      <c r="I3" s="1" t="s">
        <v>83</v>
      </c>
      <c r="J3" s="4">
        <v>0.05</v>
      </c>
      <c r="K3" s="4" t="s">
        <v>175</v>
      </c>
      <c r="L3" s="16">
        <v>1100</v>
      </c>
    </row>
    <row r="4" spans="1:12" x14ac:dyDescent="0.3">
      <c r="A4" s="12">
        <v>3</v>
      </c>
      <c r="B4" s="12">
        <v>3</v>
      </c>
      <c r="C4" s="1">
        <v>56</v>
      </c>
      <c r="D4" s="1">
        <f t="shared" ref="D4:D67" si="0">$D$2*A4+(D3+(A4*$D$2))</f>
        <v>550</v>
      </c>
      <c r="E4" s="1">
        <v>87</v>
      </c>
      <c r="F4" s="1" t="s">
        <v>82</v>
      </c>
      <c r="G4" s="4">
        <v>0.05</v>
      </c>
      <c r="H4" s="1">
        <v>87</v>
      </c>
      <c r="I4" s="1" t="s">
        <v>82</v>
      </c>
      <c r="J4" s="4">
        <v>0.05</v>
      </c>
      <c r="K4" s="4" t="s">
        <v>175</v>
      </c>
      <c r="L4" s="16">
        <v>1200</v>
      </c>
    </row>
    <row r="5" spans="1:12" x14ac:dyDescent="0.3">
      <c r="A5" s="12">
        <v>4</v>
      </c>
      <c r="B5" s="12">
        <v>4</v>
      </c>
      <c r="C5" s="1">
        <v>70</v>
      </c>
      <c r="D5" s="1">
        <f t="shared" si="0"/>
        <v>950</v>
      </c>
      <c r="E5" s="1">
        <v>117</v>
      </c>
      <c r="F5" s="1" t="s">
        <v>82</v>
      </c>
      <c r="G5" s="4">
        <v>0.05</v>
      </c>
      <c r="H5" s="1">
        <v>117</v>
      </c>
      <c r="I5" s="1" t="s">
        <v>82</v>
      </c>
      <c r="J5" s="4">
        <v>0.05</v>
      </c>
      <c r="K5" s="4" t="s">
        <v>175</v>
      </c>
      <c r="L5" s="16">
        <v>1300</v>
      </c>
    </row>
    <row r="6" spans="1:12" x14ac:dyDescent="0.3">
      <c r="A6" s="12">
        <v>5</v>
      </c>
      <c r="B6" s="12">
        <v>5</v>
      </c>
      <c r="C6" s="1">
        <v>84</v>
      </c>
      <c r="D6" s="1">
        <f t="shared" si="0"/>
        <v>1450</v>
      </c>
      <c r="E6" s="1">
        <v>155</v>
      </c>
      <c r="F6" s="1" t="s">
        <v>82</v>
      </c>
      <c r="G6" s="4">
        <v>0.05</v>
      </c>
      <c r="H6" s="1">
        <v>155</v>
      </c>
      <c r="I6" s="1" t="s">
        <v>82</v>
      </c>
      <c r="J6" s="4">
        <v>0.05</v>
      </c>
      <c r="K6" s="4" t="s">
        <v>175</v>
      </c>
      <c r="L6" s="16">
        <v>1400</v>
      </c>
    </row>
    <row r="7" spans="1:12" x14ac:dyDescent="0.3">
      <c r="A7" s="12">
        <v>6</v>
      </c>
      <c r="B7" s="12">
        <v>6</v>
      </c>
      <c r="C7" s="1">
        <v>98</v>
      </c>
      <c r="D7" s="1">
        <f t="shared" si="0"/>
        <v>2050</v>
      </c>
      <c r="E7" s="1">
        <v>200</v>
      </c>
      <c r="F7" s="1" t="s">
        <v>82</v>
      </c>
      <c r="G7" s="4">
        <v>0.05</v>
      </c>
      <c r="H7" s="1">
        <v>200</v>
      </c>
      <c r="I7" s="1" t="s">
        <v>82</v>
      </c>
      <c r="J7" s="4">
        <v>0.05</v>
      </c>
      <c r="K7" s="4" t="s">
        <v>175</v>
      </c>
      <c r="L7" s="16">
        <v>1500</v>
      </c>
    </row>
    <row r="8" spans="1:12" x14ac:dyDescent="0.3">
      <c r="A8" s="12">
        <v>7</v>
      </c>
      <c r="B8" s="12">
        <v>7</v>
      </c>
      <c r="C8" s="1">
        <v>112</v>
      </c>
      <c r="D8" s="1">
        <f t="shared" si="0"/>
        <v>2750</v>
      </c>
      <c r="E8" s="1">
        <v>252</v>
      </c>
      <c r="F8" s="1" t="s">
        <v>82</v>
      </c>
      <c r="G8" s="4">
        <v>0.05</v>
      </c>
      <c r="H8" s="1">
        <v>252</v>
      </c>
      <c r="I8" s="1" t="s">
        <v>82</v>
      </c>
      <c r="J8" s="4">
        <v>0.05</v>
      </c>
      <c r="K8" s="4" t="s">
        <v>175</v>
      </c>
      <c r="L8" s="16">
        <v>1600</v>
      </c>
    </row>
    <row r="9" spans="1:12" x14ac:dyDescent="0.3">
      <c r="A9" s="12">
        <v>8</v>
      </c>
      <c r="B9" s="12">
        <v>8</v>
      </c>
      <c r="C9" s="1">
        <v>126</v>
      </c>
      <c r="D9" s="1">
        <f t="shared" si="0"/>
        <v>3550</v>
      </c>
      <c r="E9" s="1">
        <v>312</v>
      </c>
      <c r="F9" s="1" t="s">
        <v>82</v>
      </c>
      <c r="G9" s="4">
        <v>0.05</v>
      </c>
      <c r="H9" s="1">
        <v>312</v>
      </c>
      <c r="I9" s="1" t="s">
        <v>82</v>
      </c>
      <c r="J9" s="4">
        <v>0.05</v>
      </c>
      <c r="K9" s="4" t="s">
        <v>175</v>
      </c>
      <c r="L9" s="16">
        <v>1700</v>
      </c>
    </row>
    <row r="10" spans="1:12" x14ac:dyDescent="0.3">
      <c r="A10" s="12">
        <v>9</v>
      </c>
      <c r="B10" s="12">
        <v>9</v>
      </c>
      <c r="C10" s="1">
        <v>140</v>
      </c>
      <c r="D10" s="1">
        <f t="shared" si="0"/>
        <v>4450</v>
      </c>
      <c r="E10" s="1">
        <v>380</v>
      </c>
      <c r="F10" s="1" t="s">
        <v>82</v>
      </c>
      <c r="G10" s="4">
        <v>0.05</v>
      </c>
      <c r="H10" s="1">
        <v>380</v>
      </c>
      <c r="I10" s="1" t="s">
        <v>82</v>
      </c>
      <c r="J10" s="4">
        <v>0.05</v>
      </c>
      <c r="K10" s="4" t="s">
        <v>175</v>
      </c>
      <c r="L10" s="16">
        <v>1800</v>
      </c>
    </row>
    <row r="11" spans="1:12" x14ac:dyDescent="0.3">
      <c r="A11" s="12">
        <v>10</v>
      </c>
      <c r="B11" s="12">
        <v>10</v>
      </c>
      <c r="C11" s="1">
        <v>154</v>
      </c>
      <c r="D11" s="1">
        <f t="shared" si="0"/>
        <v>5450</v>
      </c>
      <c r="E11" s="1">
        <v>455</v>
      </c>
      <c r="F11" s="1" t="s">
        <v>84</v>
      </c>
      <c r="G11" s="4">
        <v>0.05</v>
      </c>
      <c r="H11" s="1">
        <v>455</v>
      </c>
      <c r="I11" s="1" t="s">
        <v>84</v>
      </c>
      <c r="J11" s="4">
        <v>0.05</v>
      </c>
      <c r="K11" s="4" t="s">
        <v>175</v>
      </c>
      <c r="L11" s="16">
        <v>1900</v>
      </c>
    </row>
    <row r="12" spans="1:12" x14ac:dyDescent="0.3">
      <c r="A12" s="12">
        <v>11</v>
      </c>
      <c r="B12" s="12">
        <v>11</v>
      </c>
      <c r="C12" s="1">
        <v>168</v>
      </c>
      <c r="D12" s="1">
        <f t="shared" si="0"/>
        <v>6550</v>
      </c>
      <c r="E12" s="1">
        <v>537</v>
      </c>
      <c r="F12" s="1" t="s">
        <v>84</v>
      </c>
      <c r="G12" s="4">
        <v>0.05</v>
      </c>
      <c r="H12" s="1">
        <v>537</v>
      </c>
      <c r="I12" s="1" t="s">
        <v>84</v>
      </c>
      <c r="J12" s="4">
        <v>0.05</v>
      </c>
      <c r="K12" s="4" t="s">
        <v>175</v>
      </c>
      <c r="L12" s="16">
        <v>2000</v>
      </c>
    </row>
    <row r="13" spans="1:12" x14ac:dyDescent="0.3">
      <c r="A13" s="12">
        <v>12</v>
      </c>
      <c r="B13" s="12">
        <v>12</v>
      </c>
      <c r="C13" s="1">
        <v>182</v>
      </c>
      <c r="D13" s="1">
        <f t="shared" si="0"/>
        <v>7750</v>
      </c>
      <c r="E13" s="1">
        <v>627</v>
      </c>
      <c r="F13" s="1" t="s">
        <v>84</v>
      </c>
      <c r="G13" s="4">
        <v>0.05</v>
      </c>
      <c r="H13" s="1">
        <v>627</v>
      </c>
      <c r="I13" s="1" t="s">
        <v>84</v>
      </c>
      <c r="J13" s="4">
        <v>0.05</v>
      </c>
      <c r="K13" s="4" t="s">
        <v>175</v>
      </c>
      <c r="L13" s="16">
        <v>2100</v>
      </c>
    </row>
    <row r="14" spans="1:12" x14ac:dyDescent="0.3">
      <c r="A14" s="12">
        <v>13</v>
      </c>
      <c r="B14" s="12">
        <v>13</v>
      </c>
      <c r="C14" s="1">
        <v>196</v>
      </c>
      <c r="D14" s="1">
        <f t="shared" si="0"/>
        <v>9050</v>
      </c>
      <c r="E14" s="1">
        <v>725</v>
      </c>
      <c r="F14" s="1" t="s">
        <v>84</v>
      </c>
      <c r="G14" s="4">
        <v>0.05</v>
      </c>
      <c r="H14" s="1">
        <v>725</v>
      </c>
      <c r="I14" s="1" t="s">
        <v>84</v>
      </c>
      <c r="J14" s="4">
        <v>0.05</v>
      </c>
      <c r="K14" s="4" t="s">
        <v>175</v>
      </c>
      <c r="L14" s="16">
        <v>2200</v>
      </c>
    </row>
    <row r="15" spans="1:12" x14ac:dyDescent="0.3">
      <c r="A15" s="12">
        <v>14</v>
      </c>
      <c r="B15" s="12">
        <v>14</v>
      </c>
      <c r="C15" s="1">
        <v>210</v>
      </c>
      <c r="D15" s="1">
        <f t="shared" si="0"/>
        <v>10450</v>
      </c>
      <c r="E15" s="1">
        <v>830</v>
      </c>
      <c r="F15" s="1" t="s">
        <v>84</v>
      </c>
      <c r="G15" s="4">
        <v>0.05</v>
      </c>
      <c r="H15" s="1">
        <v>830</v>
      </c>
      <c r="I15" s="1" t="s">
        <v>84</v>
      </c>
      <c r="J15" s="4">
        <v>0.05</v>
      </c>
      <c r="K15" s="4" t="s">
        <v>175</v>
      </c>
      <c r="L15" s="16">
        <v>2300</v>
      </c>
    </row>
    <row r="16" spans="1:12" x14ac:dyDescent="0.3">
      <c r="A16" s="12">
        <v>15</v>
      </c>
      <c r="B16" s="12">
        <v>15</v>
      </c>
      <c r="C16" s="1">
        <v>224</v>
      </c>
      <c r="D16" s="1">
        <f t="shared" si="0"/>
        <v>11950</v>
      </c>
      <c r="E16" s="1">
        <v>942</v>
      </c>
      <c r="F16" s="1" t="s">
        <v>84</v>
      </c>
      <c r="G16" s="4">
        <v>0.05</v>
      </c>
      <c r="H16" s="1">
        <v>942</v>
      </c>
      <c r="I16" s="1" t="s">
        <v>84</v>
      </c>
      <c r="J16" s="4">
        <v>0.05</v>
      </c>
      <c r="K16" s="4" t="s">
        <v>175</v>
      </c>
      <c r="L16" s="16">
        <v>2400</v>
      </c>
    </row>
    <row r="17" spans="1:12" x14ac:dyDescent="0.3">
      <c r="A17" s="12">
        <v>16</v>
      </c>
      <c r="B17" s="12">
        <v>16</v>
      </c>
      <c r="C17" s="1">
        <v>238</v>
      </c>
      <c r="D17" s="1">
        <f t="shared" si="0"/>
        <v>13550</v>
      </c>
      <c r="E17" s="1">
        <v>1062</v>
      </c>
      <c r="F17" s="1" t="s">
        <v>84</v>
      </c>
      <c r="G17" s="4">
        <v>0.05</v>
      </c>
      <c r="H17" s="1">
        <v>1062</v>
      </c>
      <c r="I17" s="1" t="s">
        <v>84</v>
      </c>
      <c r="J17" s="4">
        <v>0.05</v>
      </c>
      <c r="K17" s="4" t="s">
        <v>175</v>
      </c>
      <c r="L17" s="16">
        <v>2500</v>
      </c>
    </row>
    <row r="18" spans="1:12" x14ac:dyDescent="0.3">
      <c r="A18" s="12">
        <v>17</v>
      </c>
      <c r="B18" s="12">
        <v>17</v>
      </c>
      <c r="C18" s="1">
        <v>252</v>
      </c>
      <c r="D18" s="1">
        <f t="shared" si="0"/>
        <v>15250</v>
      </c>
      <c r="E18" s="1">
        <v>1190</v>
      </c>
      <c r="F18" s="1" t="s">
        <v>84</v>
      </c>
      <c r="G18" s="4">
        <v>0.05</v>
      </c>
      <c r="H18" s="1">
        <v>1190</v>
      </c>
      <c r="I18" s="1" t="s">
        <v>84</v>
      </c>
      <c r="J18" s="4">
        <v>0.05</v>
      </c>
      <c r="K18" s="4" t="s">
        <v>175</v>
      </c>
      <c r="L18" s="16">
        <v>2600</v>
      </c>
    </row>
    <row r="19" spans="1:12" x14ac:dyDescent="0.3">
      <c r="A19" s="12">
        <v>18</v>
      </c>
      <c r="B19" s="12">
        <v>18</v>
      </c>
      <c r="C19" s="1">
        <v>266</v>
      </c>
      <c r="D19" s="1">
        <f t="shared" si="0"/>
        <v>17050</v>
      </c>
      <c r="E19" s="1">
        <v>1325</v>
      </c>
      <c r="F19" s="1" t="s">
        <v>84</v>
      </c>
      <c r="G19" s="4">
        <v>0.05</v>
      </c>
      <c r="H19" s="1">
        <v>1325</v>
      </c>
      <c r="I19" s="1" t="s">
        <v>84</v>
      </c>
      <c r="J19" s="4">
        <v>0.05</v>
      </c>
      <c r="K19" s="4" t="s">
        <v>175</v>
      </c>
      <c r="L19" s="16">
        <v>2700</v>
      </c>
    </row>
    <row r="20" spans="1:12" x14ac:dyDescent="0.3">
      <c r="A20" s="12">
        <v>19</v>
      </c>
      <c r="B20" s="12">
        <v>19</v>
      </c>
      <c r="C20" s="1">
        <v>280</v>
      </c>
      <c r="D20" s="1">
        <f t="shared" si="0"/>
        <v>18950</v>
      </c>
      <c r="E20" s="1">
        <v>1467</v>
      </c>
      <c r="F20" s="1" t="s">
        <v>84</v>
      </c>
      <c r="G20" s="4">
        <v>0.05</v>
      </c>
      <c r="H20" s="1">
        <v>1467</v>
      </c>
      <c r="I20" s="1" t="s">
        <v>84</v>
      </c>
      <c r="J20" s="4">
        <v>0.05</v>
      </c>
      <c r="K20" s="4" t="s">
        <v>175</v>
      </c>
      <c r="L20" s="16">
        <v>2800</v>
      </c>
    </row>
    <row r="21" spans="1:12" x14ac:dyDescent="0.3">
      <c r="A21" s="13">
        <v>20</v>
      </c>
      <c r="B21" s="13">
        <v>20</v>
      </c>
      <c r="C21" s="1">
        <v>294</v>
      </c>
      <c r="D21" s="1">
        <f t="shared" si="0"/>
        <v>20950</v>
      </c>
      <c r="E21" s="14">
        <v>1617</v>
      </c>
      <c r="F21" s="14" t="s">
        <v>150</v>
      </c>
      <c r="G21" s="17">
        <v>0.05</v>
      </c>
      <c r="H21" s="14">
        <v>1617</v>
      </c>
      <c r="I21" s="14" t="s">
        <v>150</v>
      </c>
      <c r="J21" s="17">
        <v>0.05</v>
      </c>
      <c r="K21" s="17" t="s">
        <v>175</v>
      </c>
      <c r="L21" s="18">
        <v>6000</v>
      </c>
    </row>
    <row r="22" spans="1:12" x14ac:dyDescent="0.3">
      <c r="A22" s="12">
        <v>21</v>
      </c>
      <c r="B22" s="12">
        <v>21</v>
      </c>
      <c r="C22" s="1">
        <v>308</v>
      </c>
      <c r="D22" s="1">
        <f t="shared" si="0"/>
        <v>23050</v>
      </c>
      <c r="E22" s="1">
        <v>1775</v>
      </c>
      <c r="F22" s="1" t="s">
        <v>150</v>
      </c>
      <c r="G22" s="4">
        <v>0.05</v>
      </c>
      <c r="H22" s="1">
        <v>1775</v>
      </c>
      <c r="I22" s="1" t="s">
        <v>150</v>
      </c>
      <c r="J22" s="4">
        <v>0.05</v>
      </c>
      <c r="K22" s="4" t="s">
        <v>175</v>
      </c>
      <c r="L22" s="16">
        <v>3000</v>
      </c>
    </row>
    <row r="23" spans="1:12" x14ac:dyDescent="0.3">
      <c r="A23" s="12">
        <v>22</v>
      </c>
      <c r="B23" s="12">
        <v>22</v>
      </c>
      <c r="C23" s="1">
        <v>322</v>
      </c>
      <c r="D23" s="1">
        <f t="shared" si="0"/>
        <v>25250</v>
      </c>
      <c r="E23" s="1">
        <v>1940</v>
      </c>
      <c r="F23" s="1" t="s">
        <v>150</v>
      </c>
      <c r="G23" s="4">
        <v>0.05</v>
      </c>
      <c r="H23" s="1">
        <v>1940</v>
      </c>
      <c r="I23" s="1" t="s">
        <v>150</v>
      </c>
      <c r="J23" s="4">
        <v>0.05</v>
      </c>
      <c r="K23" s="4" t="s">
        <v>175</v>
      </c>
      <c r="L23" s="16">
        <v>3100</v>
      </c>
    </row>
    <row r="24" spans="1:12" x14ac:dyDescent="0.3">
      <c r="A24" s="12">
        <v>23</v>
      </c>
      <c r="B24" s="12">
        <v>23</v>
      </c>
      <c r="C24" s="1">
        <v>336</v>
      </c>
      <c r="D24" s="1">
        <f t="shared" si="0"/>
        <v>27550</v>
      </c>
      <c r="E24" s="1">
        <v>2112</v>
      </c>
      <c r="F24" s="1" t="s">
        <v>150</v>
      </c>
      <c r="G24" s="4">
        <v>0.05</v>
      </c>
      <c r="H24" s="1">
        <v>2112</v>
      </c>
      <c r="I24" s="1" t="s">
        <v>150</v>
      </c>
      <c r="J24" s="4">
        <v>0.05</v>
      </c>
      <c r="K24" s="4" t="s">
        <v>175</v>
      </c>
      <c r="L24" s="16">
        <v>3200</v>
      </c>
    </row>
    <row r="25" spans="1:12" x14ac:dyDescent="0.3">
      <c r="A25" s="12">
        <v>24</v>
      </c>
      <c r="B25" s="12">
        <v>24</v>
      </c>
      <c r="C25" s="1">
        <v>350</v>
      </c>
      <c r="D25" s="1">
        <f t="shared" si="0"/>
        <v>29950</v>
      </c>
      <c r="E25" s="1">
        <v>2292</v>
      </c>
      <c r="F25" s="1" t="s">
        <v>150</v>
      </c>
      <c r="G25" s="4">
        <v>0.05</v>
      </c>
      <c r="H25" s="1">
        <v>2292</v>
      </c>
      <c r="I25" s="1" t="s">
        <v>150</v>
      </c>
      <c r="J25" s="4">
        <v>0.05</v>
      </c>
      <c r="K25" s="4" t="s">
        <v>175</v>
      </c>
      <c r="L25" s="16">
        <v>3300</v>
      </c>
    </row>
    <row r="26" spans="1:12" x14ac:dyDescent="0.3">
      <c r="A26" s="12">
        <v>25</v>
      </c>
      <c r="B26" s="12">
        <v>25</v>
      </c>
      <c r="C26" s="1">
        <v>364</v>
      </c>
      <c r="D26" s="1">
        <f t="shared" si="0"/>
        <v>32450</v>
      </c>
      <c r="E26" s="1">
        <v>2480</v>
      </c>
      <c r="F26" s="1" t="s">
        <v>150</v>
      </c>
      <c r="G26" s="4">
        <v>0.05</v>
      </c>
      <c r="H26" s="1">
        <v>2480</v>
      </c>
      <c r="I26" s="1" t="s">
        <v>150</v>
      </c>
      <c r="J26" s="4">
        <v>0.05</v>
      </c>
      <c r="K26" s="4" t="s">
        <v>175</v>
      </c>
      <c r="L26" s="16">
        <v>3400</v>
      </c>
    </row>
    <row r="27" spans="1:12" x14ac:dyDescent="0.3">
      <c r="A27" s="12">
        <v>26</v>
      </c>
      <c r="B27" s="12">
        <v>26</v>
      </c>
      <c r="C27" s="1">
        <v>378</v>
      </c>
      <c r="D27" s="1">
        <f t="shared" si="0"/>
        <v>35050</v>
      </c>
      <c r="E27" s="1">
        <v>2675</v>
      </c>
      <c r="F27" s="1" t="s">
        <v>150</v>
      </c>
      <c r="G27" s="4">
        <v>0.05</v>
      </c>
      <c r="H27" s="1">
        <v>2675</v>
      </c>
      <c r="I27" s="1" t="s">
        <v>150</v>
      </c>
      <c r="J27" s="4">
        <v>0.05</v>
      </c>
      <c r="K27" s="4" t="s">
        <v>175</v>
      </c>
      <c r="L27" s="16">
        <v>3500</v>
      </c>
    </row>
    <row r="28" spans="1:12" x14ac:dyDescent="0.3">
      <c r="A28" s="12">
        <v>27</v>
      </c>
      <c r="B28" s="12">
        <v>27</v>
      </c>
      <c r="C28" s="1">
        <v>392</v>
      </c>
      <c r="D28" s="1">
        <f t="shared" si="0"/>
        <v>37750</v>
      </c>
      <c r="E28" s="1">
        <v>2877</v>
      </c>
      <c r="F28" s="1" t="s">
        <v>150</v>
      </c>
      <c r="G28" s="4">
        <v>0.05</v>
      </c>
      <c r="H28" s="1">
        <v>2877</v>
      </c>
      <c r="I28" s="1" t="s">
        <v>150</v>
      </c>
      <c r="J28" s="4">
        <v>0.05</v>
      </c>
      <c r="K28" s="4" t="s">
        <v>175</v>
      </c>
      <c r="L28" s="16">
        <v>3600</v>
      </c>
    </row>
    <row r="29" spans="1:12" x14ac:dyDescent="0.3">
      <c r="A29" s="12">
        <v>28</v>
      </c>
      <c r="B29" s="12">
        <v>28</v>
      </c>
      <c r="C29" s="1">
        <v>406</v>
      </c>
      <c r="D29" s="1">
        <f t="shared" si="0"/>
        <v>40550</v>
      </c>
      <c r="E29" s="1">
        <v>3087</v>
      </c>
      <c r="F29" s="1" t="s">
        <v>150</v>
      </c>
      <c r="G29" s="4">
        <v>0.05</v>
      </c>
      <c r="H29" s="1">
        <v>3087</v>
      </c>
      <c r="I29" s="1" t="s">
        <v>150</v>
      </c>
      <c r="J29" s="4">
        <v>0.05</v>
      </c>
      <c r="K29" s="4" t="s">
        <v>175</v>
      </c>
      <c r="L29" s="16">
        <v>3700</v>
      </c>
    </row>
    <row r="30" spans="1:12" x14ac:dyDescent="0.3">
      <c r="A30" s="12">
        <v>29</v>
      </c>
      <c r="B30" s="12">
        <v>29</v>
      </c>
      <c r="C30" s="1">
        <v>420</v>
      </c>
      <c r="D30" s="1">
        <f t="shared" si="0"/>
        <v>43450</v>
      </c>
      <c r="E30" s="1">
        <v>3305</v>
      </c>
      <c r="F30" s="1" t="s">
        <v>150</v>
      </c>
      <c r="G30" s="4">
        <v>0.05</v>
      </c>
      <c r="H30" s="1">
        <v>3305</v>
      </c>
      <c r="I30" s="1" t="s">
        <v>150</v>
      </c>
      <c r="J30" s="4">
        <v>0.05</v>
      </c>
      <c r="K30" s="4" t="s">
        <v>175</v>
      </c>
      <c r="L30" s="16">
        <v>3800</v>
      </c>
    </row>
    <row r="31" spans="1:12" x14ac:dyDescent="0.3">
      <c r="A31" s="12">
        <v>30</v>
      </c>
      <c r="B31" s="12">
        <v>30</v>
      </c>
      <c r="C31" s="1">
        <v>434</v>
      </c>
      <c r="D31" s="1">
        <f t="shared" si="0"/>
        <v>46450</v>
      </c>
      <c r="E31" s="1">
        <v>3530</v>
      </c>
      <c r="F31" s="3" t="s">
        <v>151</v>
      </c>
      <c r="G31" s="4">
        <v>0.05</v>
      </c>
      <c r="H31" s="1">
        <v>3530</v>
      </c>
      <c r="I31" s="3" t="s">
        <v>151</v>
      </c>
      <c r="J31" s="4">
        <v>0.05</v>
      </c>
      <c r="K31" s="4" t="s">
        <v>175</v>
      </c>
      <c r="L31" s="16">
        <v>3900</v>
      </c>
    </row>
    <row r="32" spans="1:12" x14ac:dyDescent="0.3">
      <c r="A32" s="12">
        <v>31</v>
      </c>
      <c r="B32" s="12">
        <v>31</v>
      </c>
      <c r="C32" s="1">
        <v>448</v>
      </c>
      <c r="D32" s="1">
        <f t="shared" si="0"/>
        <v>49550</v>
      </c>
      <c r="E32" s="1">
        <v>3762</v>
      </c>
      <c r="F32" s="3" t="s">
        <v>151</v>
      </c>
      <c r="G32" s="4">
        <v>0.05</v>
      </c>
      <c r="H32" s="1">
        <v>3762</v>
      </c>
      <c r="I32" s="3" t="s">
        <v>151</v>
      </c>
      <c r="J32" s="4">
        <v>0.05</v>
      </c>
      <c r="K32" s="4" t="s">
        <v>175</v>
      </c>
      <c r="L32" s="16">
        <v>4000</v>
      </c>
    </row>
    <row r="33" spans="1:12" x14ac:dyDescent="0.3">
      <c r="A33" s="12">
        <v>32</v>
      </c>
      <c r="B33" s="12">
        <v>32</v>
      </c>
      <c r="C33" s="1">
        <v>462</v>
      </c>
      <c r="D33" s="1">
        <f t="shared" si="0"/>
        <v>52750</v>
      </c>
      <c r="E33" s="1">
        <v>4002</v>
      </c>
      <c r="F33" s="3" t="s">
        <v>151</v>
      </c>
      <c r="G33" s="4">
        <v>0.05</v>
      </c>
      <c r="H33" s="1">
        <v>4002</v>
      </c>
      <c r="I33" s="3" t="s">
        <v>151</v>
      </c>
      <c r="J33" s="4">
        <v>0.05</v>
      </c>
      <c r="K33" s="4" t="s">
        <v>175</v>
      </c>
      <c r="L33" s="16">
        <v>4100</v>
      </c>
    </row>
    <row r="34" spans="1:12" x14ac:dyDescent="0.3">
      <c r="A34" s="12">
        <v>33</v>
      </c>
      <c r="B34" s="12">
        <v>33</v>
      </c>
      <c r="C34" s="1">
        <v>476</v>
      </c>
      <c r="D34" s="1">
        <f t="shared" si="0"/>
        <v>56050</v>
      </c>
      <c r="E34" s="1">
        <v>4250</v>
      </c>
      <c r="F34" s="3" t="s">
        <v>151</v>
      </c>
      <c r="G34" s="4">
        <v>0.05</v>
      </c>
      <c r="H34" s="1">
        <v>4250</v>
      </c>
      <c r="I34" s="3" t="s">
        <v>151</v>
      </c>
      <c r="J34" s="4">
        <v>0.05</v>
      </c>
      <c r="K34" s="4" t="s">
        <v>175</v>
      </c>
      <c r="L34" s="16">
        <v>4200</v>
      </c>
    </row>
    <row r="35" spans="1:12" x14ac:dyDescent="0.3">
      <c r="A35" s="12">
        <v>34</v>
      </c>
      <c r="B35" s="12">
        <v>34</v>
      </c>
      <c r="C35" s="1">
        <v>490</v>
      </c>
      <c r="D35" s="1">
        <f t="shared" si="0"/>
        <v>59450</v>
      </c>
      <c r="E35" s="1">
        <v>4505</v>
      </c>
      <c r="F35" s="3" t="s">
        <v>151</v>
      </c>
      <c r="G35" s="4">
        <v>0.05</v>
      </c>
      <c r="H35" s="1">
        <v>4505</v>
      </c>
      <c r="I35" s="3" t="s">
        <v>151</v>
      </c>
      <c r="J35" s="4">
        <v>0.05</v>
      </c>
      <c r="K35" s="4" t="s">
        <v>175</v>
      </c>
      <c r="L35" s="16">
        <v>4300</v>
      </c>
    </row>
    <row r="36" spans="1:12" x14ac:dyDescent="0.3">
      <c r="A36" s="12">
        <v>35</v>
      </c>
      <c r="B36" s="12">
        <v>35</v>
      </c>
      <c r="C36" s="1">
        <v>504</v>
      </c>
      <c r="D36" s="1">
        <f t="shared" si="0"/>
        <v>62950</v>
      </c>
      <c r="E36" s="1">
        <v>4767</v>
      </c>
      <c r="F36" s="3" t="s">
        <v>151</v>
      </c>
      <c r="G36" s="4">
        <v>0.05</v>
      </c>
      <c r="H36" s="1">
        <v>4767</v>
      </c>
      <c r="I36" s="3" t="s">
        <v>151</v>
      </c>
      <c r="J36" s="4">
        <v>0.05</v>
      </c>
      <c r="K36" s="4" t="s">
        <v>175</v>
      </c>
      <c r="L36" s="16">
        <v>4400</v>
      </c>
    </row>
    <row r="37" spans="1:12" x14ac:dyDescent="0.3">
      <c r="A37" s="12">
        <v>36</v>
      </c>
      <c r="B37" s="12">
        <v>36</v>
      </c>
      <c r="C37" s="1">
        <v>518</v>
      </c>
      <c r="D37" s="1">
        <f t="shared" si="0"/>
        <v>66550</v>
      </c>
      <c r="E37" s="1">
        <v>5037</v>
      </c>
      <c r="F37" s="3" t="s">
        <v>151</v>
      </c>
      <c r="G37" s="4">
        <v>0.05</v>
      </c>
      <c r="H37" s="1">
        <v>5037</v>
      </c>
      <c r="I37" s="3" t="s">
        <v>151</v>
      </c>
      <c r="J37" s="4">
        <v>0.05</v>
      </c>
      <c r="K37" s="4" t="s">
        <v>175</v>
      </c>
      <c r="L37" s="16">
        <v>4500</v>
      </c>
    </row>
    <row r="38" spans="1:12" x14ac:dyDescent="0.3">
      <c r="A38" s="12">
        <v>37</v>
      </c>
      <c r="B38" s="12">
        <v>37</v>
      </c>
      <c r="C38" s="1">
        <v>532</v>
      </c>
      <c r="D38" s="1">
        <f t="shared" si="0"/>
        <v>70250</v>
      </c>
      <c r="E38" s="1">
        <v>5315</v>
      </c>
      <c r="F38" s="3" t="s">
        <v>151</v>
      </c>
      <c r="G38" s="4">
        <v>0.05</v>
      </c>
      <c r="H38" s="1">
        <v>5315</v>
      </c>
      <c r="I38" s="3" t="s">
        <v>151</v>
      </c>
      <c r="J38" s="4">
        <v>0.05</v>
      </c>
      <c r="K38" s="4" t="s">
        <v>175</v>
      </c>
      <c r="L38" s="16">
        <v>4600</v>
      </c>
    </row>
    <row r="39" spans="1:12" x14ac:dyDescent="0.3">
      <c r="A39" s="12">
        <v>38</v>
      </c>
      <c r="B39" s="12">
        <v>38</v>
      </c>
      <c r="C39" s="1">
        <v>546</v>
      </c>
      <c r="D39" s="1">
        <f t="shared" si="0"/>
        <v>74050</v>
      </c>
      <c r="E39" s="1">
        <v>5600</v>
      </c>
      <c r="F39" s="3" t="s">
        <v>151</v>
      </c>
      <c r="G39" s="4">
        <v>0.05</v>
      </c>
      <c r="H39" s="1">
        <v>5600</v>
      </c>
      <c r="I39" s="3" t="s">
        <v>151</v>
      </c>
      <c r="J39" s="4">
        <v>0.05</v>
      </c>
      <c r="K39" s="4" t="s">
        <v>175</v>
      </c>
      <c r="L39" s="16">
        <v>4700</v>
      </c>
    </row>
    <row r="40" spans="1:12" x14ac:dyDescent="0.3">
      <c r="A40" s="12">
        <v>39</v>
      </c>
      <c r="B40" s="12">
        <v>39</v>
      </c>
      <c r="C40" s="1">
        <v>560</v>
      </c>
      <c r="D40" s="1">
        <f t="shared" si="0"/>
        <v>77950</v>
      </c>
      <c r="E40" s="1">
        <v>5892</v>
      </c>
      <c r="F40" s="3" t="s">
        <v>151</v>
      </c>
      <c r="G40" s="4">
        <v>0.05</v>
      </c>
      <c r="H40" s="1">
        <v>5892</v>
      </c>
      <c r="I40" s="3" t="s">
        <v>151</v>
      </c>
      <c r="J40" s="4">
        <v>0.05</v>
      </c>
      <c r="K40" s="4" t="s">
        <v>175</v>
      </c>
      <c r="L40" s="16">
        <v>4800</v>
      </c>
    </row>
    <row r="41" spans="1:12" x14ac:dyDescent="0.3">
      <c r="A41" s="13">
        <v>40</v>
      </c>
      <c r="B41" s="13">
        <v>40</v>
      </c>
      <c r="C41" s="1">
        <v>574</v>
      </c>
      <c r="D41" s="1">
        <f t="shared" si="0"/>
        <v>81950</v>
      </c>
      <c r="E41" s="1">
        <v>6192</v>
      </c>
      <c r="F41" s="1" t="s">
        <v>152</v>
      </c>
      <c r="G41" s="4">
        <v>0.05</v>
      </c>
      <c r="H41" s="1">
        <v>6192</v>
      </c>
      <c r="I41" s="1" t="s">
        <v>152</v>
      </c>
      <c r="J41" s="4">
        <v>0.05</v>
      </c>
      <c r="K41" s="4" t="s">
        <v>175</v>
      </c>
      <c r="L41" s="16">
        <v>10000</v>
      </c>
    </row>
    <row r="42" spans="1:12" x14ac:dyDescent="0.3">
      <c r="A42" s="12">
        <v>41</v>
      </c>
      <c r="B42" s="12">
        <v>41</v>
      </c>
      <c r="C42" s="1">
        <v>588</v>
      </c>
      <c r="D42" s="1">
        <f t="shared" si="0"/>
        <v>86050</v>
      </c>
      <c r="E42" s="1">
        <v>6500</v>
      </c>
      <c r="F42" s="1" t="s">
        <v>152</v>
      </c>
      <c r="G42" s="4">
        <v>0.05</v>
      </c>
      <c r="H42" s="1">
        <v>6500</v>
      </c>
      <c r="I42" s="1" t="s">
        <v>152</v>
      </c>
      <c r="J42" s="4">
        <v>0.05</v>
      </c>
      <c r="K42" s="4" t="s">
        <v>175</v>
      </c>
      <c r="L42" s="16">
        <v>5000</v>
      </c>
    </row>
    <row r="43" spans="1:12" x14ac:dyDescent="0.3">
      <c r="A43" s="12">
        <v>42</v>
      </c>
      <c r="B43" s="12">
        <v>42</v>
      </c>
      <c r="C43" s="1">
        <v>602</v>
      </c>
      <c r="D43" s="1">
        <f t="shared" si="0"/>
        <v>90250</v>
      </c>
      <c r="E43" s="1">
        <v>6815</v>
      </c>
      <c r="F43" s="1" t="s">
        <v>152</v>
      </c>
      <c r="G43" s="4">
        <v>0.05</v>
      </c>
      <c r="H43" s="1">
        <v>6815</v>
      </c>
      <c r="I43" s="1" t="s">
        <v>152</v>
      </c>
      <c r="J43" s="4">
        <v>0.05</v>
      </c>
      <c r="K43" s="4" t="s">
        <v>175</v>
      </c>
      <c r="L43" s="16">
        <v>5100</v>
      </c>
    </row>
    <row r="44" spans="1:12" x14ac:dyDescent="0.3">
      <c r="A44" s="12">
        <v>43</v>
      </c>
      <c r="B44" s="12">
        <v>43</v>
      </c>
      <c r="C44" s="1">
        <v>616</v>
      </c>
      <c r="D44" s="1">
        <f t="shared" si="0"/>
        <v>94550</v>
      </c>
      <c r="E44" s="1">
        <v>7137</v>
      </c>
      <c r="F44" s="1" t="s">
        <v>152</v>
      </c>
      <c r="G44" s="4">
        <v>0.05</v>
      </c>
      <c r="H44" s="1">
        <v>7137</v>
      </c>
      <c r="I44" s="1" t="s">
        <v>152</v>
      </c>
      <c r="J44" s="4">
        <v>0.05</v>
      </c>
      <c r="K44" s="4" t="s">
        <v>175</v>
      </c>
      <c r="L44" s="16">
        <v>5200</v>
      </c>
    </row>
    <row r="45" spans="1:12" x14ac:dyDescent="0.3">
      <c r="A45" s="12">
        <v>44</v>
      </c>
      <c r="B45" s="12">
        <v>44</v>
      </c>
      <c r="C45" s="1">
        <v>630</v>
      </c>
      <c r="D45" s="1">
        <f t="shared" si="0"/>
        <v>98950</v>
      </c>
      <c r="E45" s="1">
        <v>7467</v>
      </c>
      <c r="F45" s="1" t="s">
        <v>152</v>
      </c>
      <c r="G45" s="4">
        <v>0.05</v>
      </c>
      <c r="H45" s="1">
        <v>7467</v>
      </c>
      <c r="I45" s="1" t="s">
        <v>152</v>
      </c>
      <c r="J45" s="4">
        <v>0.05</v>
      </c>
      <c r="K45" s="4" t="s">
        <v>175</v>
      </c>
      <c r="L45" s="16">
        <v>5300</v>
      </c>
    </row>
    <row r="46" spans="1:12" x14ac:dyDescent="0.3">
      <c r="A46" s="12">
        <v>45</v>
      </c>
      <c r="B46" s="12">
        <v>45</v>
      </c>
      <c r="C46" s="1">
        <v>644</v>
      </c>
      <c r="D46" s="1">
        <f t="shared" si="0"/>
        <v>103450</v>
      </c>
      <c r="E46" s="1">
        <v>7805</v>
      </c>
      <c r="F46" s="1" t="s">
        <v>152</v>
      </c>
      <c r="G46" s="4">
        <v>0.05</v>
      </c>
      <c r="H46" s="1">
        <v>7805</v>
      </c>
      <c r="I46" s="1" t="s">
        <v>152</v>
      </c>
      <c r="J46" s="4">
        <v>0.05</v>
      </c>
      <c r="K46" s="4" t="s">
        <v>175</v>
      </c>
      <c r="L46" s="16">
        <v>5400</v>
      </c>
    </row>
    <row r="47" spans="1:12" x14ac:dyDescent="0.3">
      <c r="A47" s="12">
        <v>46</v>
      </c>
      <c r="B47" s="12">
        <v>46</v>
      </c>
      <c r="C47" s="1">
        <v>658</v>
      </c>
      <c r="D47" s="1">
        <f t="shared" si="0"/>
        <v>108050</v>
      </c>
      <c r="E47" s="1">
        <v>8150</v>
      </c>
      <c r="F47" s="1" t="s">
        <v>152</v>
      </c>
      <c r="G47" s="4">
        <v>0.05</v>
      </c>
      <c r="H47" s="1">
        <v>8150</v>
      </c>
      <c r="I47" s="1" t="s">
        <v>152</v>
      </c>
      <c r="J47" s="4">
        <v>0.05</v>
      </c>
      <c r="K47" s="4" t="s">
        <v>175</v>
      </c>
      <c r="L47" s="16">
        <v>5500</v>
      </c>
    </row>
    <row r="48" spans="1:12" x14ac:dyDescent="0.3">
      <c r="A48" s="12">
        <v>47</v>
      </c>
      <c r="B48" s="12">
        <v>47</v>
      </c>
      <c r="C48" s="1">
        <v>672</v>
      </c>
      <c r="D48" s="1">
        <f t="shared" si="0"/>
        <v>112750</v>
      </c>
      <c r="E48" s="1">
        <v>8502</v>
      </c>
      <c r="F48" s="1" t="s">
        <v>152</v>
      </c>
      <c r="G48" s="4">
        <v>0.05</v>
      </c>
      <c r="H48" s="1">
        <v>8502</v>
      </c>
      <c r="I48" s="1" t="s">
        <v>152</v>
      </c>
      <c r="J48" s="4">
        <v>0.05</v>
      </c>
      <c r="K48" s="4" t="s">
        <v>175</v>
      </c>
      <c r="L48" s="16">
        <v>5600</v>
      </c>
    </row>
    <row r="49" spans="1:12" x14ac:dyDescent="0.3">
      <c r="A49" s="12">
        <v>48</v>
      </c>
      <c r="B49" s="12">
        <v>48</v>
      </c>
      <c r="C49" s="1">
        <v>686</v>
      </c>
      <c r="D49" s="1">
        <f t="shared" si="0"/>
        <v>117550</v>
      </c>
      <c r="E49" s="1">
        <v>8862</v>
      </c>
      <c r="F49" s="1" t="s">
        <v>152</v>
      </c>
      <c r="G49" s="4">
        <v>0.05</v>
      </c>
      <c r="H49" s="1">
        <v>8862</v>
      </c>
      <c r="I49" s="1" t="s">
        <v>152</v>
      </c>
      <c r="J49" s="4">
        <v>0.05</v>
      </c>
      <c r="K49" s="4" t="s">
        <v>175</v>
      </c>
      <c r="L49" s="16">
        <v>5700</v>
      </c>
    </row>
    <row r="50" spans="1:12" x14ac:dyDescent="0.3">
      <c r="A50" s="12">
        <v>49</v>
      </c>
      <c r="B50" s="12">
        <v>49</v>
      </c>
      <c r="C50" s="1">
        <v>700</v>
      </c>
      <c r="D50" s="1">
        <f t="shared" si="0"/>
        <v>122450</v>
      </c>
      <c r="E50" s="1">
        <v>9230</v>
      </c>
      <c r="F50" s="1" t="s">
        <v>152</v>
      </c>
      <c r="G50" s="4">
        <v>0.05</v>
      </c>
      <c r="H50" s="1">
        <v>9230</v>
      </c>
      <c r="I50" s="1" t="s">
        <v>152</v>
      </c>
      <c r="J50" s="4">
        <v>0.05</v>
      </c>
      <c r="K50" s="4" t="s">
        <v>175</v>
      </c>
      <c r="L50" s="16">
        <v>5800</v>
      </c>
    </row>
    <row r="51" spans="1:12" x14ac:dyDescent="0.3">
      <c r="A51" s="12">
        <v>50</v>
      </c>
      <c r="B51" s="12">
        <v>50</v>
      </c>
      <c r="C51" s="1">
        <v>714</v>
      </c>
      <c r="D51" s="1">
        <f t="shared" si="0"/>
        <v>127450</v>
      </c>
      <c r="E51" s="1">
        <v>9605</v>
      </c>
      <c r="F51" s="1" t="s">
        <v>153</v>
      </c>
      <c r="G51" s="4">
        <v>0.05</v>
      </c>
      <c r="H51" s="1">
        <v>9605</v>
      </c>
      <c r="I51" s="1" t="s">
        <v>153</v>
      </c>
      <c r="J51" s="4">
        <v>0.05</v>
      </c>
      <c r="K51" s="4" t="s">
        <v>175</v>
      </c>
      <c r="L51" s="16">
        <v>5900</v>
      </c>
    </row>
    <row r="52" spans="1:12" x14ac:dyDescent="0.3">
      <c r="A52" s="12">
        <v>51</v>
      </c>
      <c r="B52" s="12">
        <v>51</v>
      </c>
      <c r="C52" s="1">
        <v>728</v>
      </c>
      <c r="D52" s="1">
        <f t="shared" si="0"/>
        <v>132550</v>
      </c>
      <c r="E52" s="1">
        <v>9987</v>
      </c>
      <c r="F52" s="1" t="s">
        <v>153</v>
      </c>
      <c r="G52" s="4">
        <v>0.05</v>
      </c>
      <c r="H52" s="1">
        <v>9987</v>
      </c>
      <c r="I52" s="1" t="s">
        <v>153</v>
      </c>
      <c r="J52" s="4">
        <v>0.05</v>
      </c>
      <c r="K52" s="4" t="s">
        <v>175</v>
      </c>
      <c r="L52" s="16">
        <v>6000</v>
      </c>
    </row>
    <row r="53" spans="1:12" x14ac:dyDescent="0.3">
      <c r="A53" s="12">
        <v>52</v>
      </c>
      <c r="B53" s="12">
        <v>52</v>
      </c>
      <c r="C53" s="1">
        <v>742</v>
      </c>
      <c r="D53" s="1">
        <f t="shared" si="0"/>
        <v>137750</v>
      </c>
      <c r="E53" s="1">
        <v>10377</v>
      </c>
      <c r="F53" s="1" t="s">
        <v>153</v>
      </c>
      <c r="G53" s="4">
        <v>0.05</v>
      </c>
      <c r="H53" s="1">
        <v>10377</v>
      </c>
      <c r="I53" s="1" t="s">
        <v>153</v>
      </c>
      <c r="J53" s="4">
        <v>0.05</v>
      </c>
      <c r="K53" s="4" t="s">
        <v>175</v>
      </c>
      <c r="L53" s="16">
        <v>6100</v>
      </c>
    </row>
    <row r="54" spans="1:12" x14ac:dyDescent="0.3">
      <c r="A54" s="12">
        <v>53</v>
      </c>
      <c r="B54" s="12">
        <v>53</v>
      </c>
      <c r="C54" s="1">
        <v>756</v>
      </c>
      <c r="D54" s="1">
        <f t="shared" si="0"/>
        <v>143050</v>
      </c>
      <c r="E54" s="1">
        <v>10775</v>
      </c>
      <c r="F54" s="1" t="s">
        <v>153</v>
      </c>
      <c r="G54" s="4">
        <v>0.05</v>
      </c>
      <c r="H54" s="1">
        <v>10775</v>
      </c>
      <c r="I54" s="1" t="s">
        <v>153</v>
      </c>
      <c r="J54" s="4">
        <v>0.05</v>
      </c>
      <c r="K54" s="4" t="s">
        <v>175</v>
      </c>
      <c r="L54" s="16">
        <v>6200</v>
      </c>
    </row>
    <row r="55" spans="1:12" x14ac:dyDescent="0.3">
      <c r="A55" s="12">
        <v>54</v>
      </c>
      <c r="B55" s="12">
        <v>54</v>
      </c>
      <c r="C55" s="1">
        <v>770</v>
      </c>
      <c r="D55" s="1">
        <f t="shared" si="0"/>
        <v>148450</v>
      </c>
      <c r="E55" s="1">
        <v>11180</v>
      </c>
      <c r="F55" s="1" t="s">
        <v>153</v>
      </c>
      <c r="G55" s="4">
        <v>0.05</v>
      </c>
      <c r="H55" s="1">
        <v>11180</v>
      </c>
      <c r="I55" s="1" t="s">
        <v>153</v>
      </c>
      <c r="J55" s="4">
        <v>0.05</v>
      </c>
      <c r="K55" s="4" t="s">
        <v>175</v>
      </c>
      <c r="L55" s="16">
        <v>6300</v>
      </c>
    </row>
    <row r="56" spans="1:12" x14ac:dyDescent="0.3">
      <c r="A56" s="12">
        <v>55</v>
      </c>
      <c r="B56" s="12">
        <v>55</v>
      </c>
      <c r="C56" s="1">
        <v>784</v>
      </c>
      <c r="D56" s="1">
        <f t="shared" si="0"/>
        <v>153950</v>
      </c>
      <c r="E56" s="1">
        <v>11592</v>
      </c>
      <c r="F56" s="1" t="s">
        <v>153</v>
      </c>
      <c r="G56" s="4">
        <v>0.05</v>
      </c>
      <c r="H56" s="1">
        <v>11592</v>
      </c>
      <c r="I56" s="1" t="s">
        <v>153</v>
      </c>
      <c r="J56" s="4">
        <v>0.05</v>
      </c>
      <c r="K56" s="4" t="s">
        <v>175</v>
      </c>
      <c r="L56" s="16">
        <v>6400</v>
      </c>
    </row>
    <row r="57" spans="1:12" x14ac:dyDescent="0.3">
      <c r="A57" s="12">
        <v>56</v>
      </c>
      <c r="B57" s="12">
        <v>56</v>
      </c>
      <c r="C57" s="1">
        <v>798</v>
      </c>
      <c r="D57" s="1">
        <f t="shared" si="0"/>
        <v>159550</v>
      </c>
      <c r="E57" s="1">
        <v>12012</v>
      </c>
      <c r="F57" s="1" t="s">
        <v>153</v>
      </c>
      <c r="G57" s="4">
        <v>0.05</v>
      </c>
      <c r="H57" s="1">
        <v>12012</v>
      </c>
      <c r="I57" s="1" t="s">
        <v>153</v>
      </c>
      <c r="J57" s="4">
        <v>0.05</v>
      </c>
      <c r="K57" s="4" t="s">
        <v>175</v>
      </c>
      <c r="L57" s="16">
        <v>6500</v>
      </c>
    </row>
    <row r="58" spans="1:12" x14ac:dyDescent="0.3">
      <c r="A58" s="12">
        <v>57</v>
      </c>
      <c r="B58" s="12">
        <v>57</v>
      </c>
      <c r="C58" s="1">
        <v>812</v>
      </c>
      <c r="D58" s="1">
        <f t="shared" si="0"/>
        <v>165250</v>
      </c>
      <c r="E58" s="1">
        <v>12440</v>
      </c>
      <c r="F58" s="1" t="s">
        <v>153</v>
      </c>
      <c r="G58" s="4">
        <v>0.05</v>
      </c>
      <c r="H58" s="1">
        <v>12440</v>
      </c>
      <c r="I58" s="1" t="s">
        <v>153</v>
      </c>
      <c r="J58" s="4">
        <v>0.05</v>
      </c>
      <c r="K58" s="4" t="s">
        <v>175</v>
      </c>
      <c r="L58" s="16">
        <v>6600</v>
      </c>
    </row>
    <row r="59" spans="1:12" x14ac:dyDescent="0.3">
      <c r="A59" s="12">
        <v>58</v>
      </c>
      <c r="B59" s="12">
        <v>58</v>
      </c>
      <c r="C59" s="1">
        <v>826</v>
      </c>
      <c r="D59" s="1">
        <f t="shared" si="0"/>
        <v>171050</v>
      </c>
      <c r="E59" s="1">
        <v>12875</v>
      </c>
      <c r="F59" s="1" t="s">
        <v>153</v>
      </c>
      <c r="G59" s="4">
        <v>0.05</v>
      </c>
      <c r="H59" s="1">
        <v>12875</v>
      </c>
      <c r="I59" s="1" t="s">
        <v>153</v>
      </c>
      <c r="J59" s="4">
        <v>0.05</v>
      </c>
      <c r="K59" s="4" t="s">
        <v>175</v>
      </c>
      <c r="L59" s="16">
        <v>6700</v>
      </c>
    </row>
    <row r="60" spans="1:12" x14ac:dyDescent="0.3">
      <c r="A60" s="12">
        <v>59</v>
      </c>
      <c r="B60" s="12">
        <v>59</v>
      </c>
      <c r="C60" s="1">
        <v>840</v>
      </c>
      <c r="D60" s="1">
        <f t="shared" si="0"/>
        <v>176950</v>
      </c>
      <c r="E60" s="1">
        <v>13317</v>
      </c>
      <c r="F60" s="1" t="s">
        <v>153</v>
      </c>
      <c r="G60" s="4">
        <v>0.05</v>
      </c>
      <c r="H60" s="1">
        <v>13317</v>
      </c>
      <c r="I60" s="1" t="s">
        <v>153</v>
      </c>
      <c r="J60" s="4">
        <v>0.05</v>
      </c>
      <c r="K60" s="4" t="s">
        <v>175</v>
      </c>
      <c r="L60" s="16">
        <v>6800</v>
      </c>
    </row>
    <row r="61" spans="1:12" x14ac:dyDescent="0.3">
      <c r="A61" s="13">
        <v>60</v>
      </c>
      <c r="B61" s="13">
        <v>60</v>
      </c>
      <c r="C61" s="1">
        <v>854</v>
      </c>
      <c r="D61" s="1">
        <f t="shared" si="0"/>
        <v>182950</v>
      </c>
      <c r="E61" s="1">
        <v>13767</v>
      </c>
      <c r="F61" s="1" t="s">
        <v>154</v>
      </c>
      <c r="G61" s="4">
        <v>0.05</v>
      </c>
      <c r="H61" s="1">
        <v>13767</v>
      </c>
      <c r="I61" s="1" t="s">
        <v>154</v>
      </c>
      <c r="J61" s="4">
        <v>0.05</v>
      </c>
      <c r="K61" s="4" t="s">
        <v>175</v>
      </c>
      <c r="L61" s="16">
        <v>14000</v>
      </c>
    </row>
    <row r="62" spans="1:12" x14ac:dyDescent="0.3">
      <c r="A62" s="12">
        <v>61</v>
      </c>
      <c r="B62" s="12">
        <v>61</v>
      </c>
      <c r="C62" s="1">
        <v>868</v>
      </c>
      <c r="D62" s="1">
        <f t="shared" si="0"/>
        <v>189050</v>
      </c>
      <c r="E62" s="1">
        <v>14225</v>
      </c>
      <c r="F62" s="1" t="s">
        <v>154</v>
      </c>
      <c r="G62" s="4">
        <v>0.05</v>
      </c>
      <c r="H62" s="1">
        <v>14225</v>
      </c>
      <c r="I62" s="1" t="s">
        <v>154</v>
      </c>
      <c r="J62" s="4">
        <v>0.05</v>
      </c>
      <c r="K62" s="4" t="s">
        <v>175</v>
      </c>
      <c r="L62" s="16">
        <v>7000</v>
      </c>
    </row>
    <row r="63" spans="1:12" x14ac:dyDescent="0.3">
      <c r="A63" s="12">
        <v>62</v>
      </c>
      <c r="B63" s="12">
        <v>62</v>
      </c>
      <c r="C63" s="1">
        <v>882</v>
      </c>
      <c r="D63" s="1">
        <f t="shared" si="0"/>
        <v>195250</v>
      </c>
      <c r="E63" s="1">
        <v>14690</v>
      </c>
      <c r="F63" s="1" t="s">
        <v>154</v>
      </c>
      <c r="G63" s="4">
        <v>0.05</v>
      </c>
      <c r="H63" s="1">
        <v>14690</v>
      </c>
      <c r="I63" s="1" t="s">
        <v>154</v>
      </c>
      <c r="J63" s="4">
        <v>0.05</v>
      </c>
      <c r="K63" s="4" t="s">
        <v>175</v>
      </c>
      <c r="L63" s="16">
        <v>7100</v>
      </c>
    </row>
    <row r="64" spans="1:12" x14ac:dyDescent="0.3">
      <c r="A64" s="12">
        <v>63</v>
      </c>
      <c r="B64" s="12">
        <v>63</v>
      </c>
      <c r="C64" s="1">
        <v>896</v>
      </c>
      <c r="D64" s="1">
        <f t="shared" si="0"/>
        <v>201550</v>
      </c>
      <c r="E64" s="1">
        <v>15162</v>
      </c>
      <c r="F64" s="1" t="s">
        <v>154</v>
      </c>
      <c r="G64" s="4">
        <v>0.05</v>
      </c>
      <c r="H64" s="1">
        <v>15162</v>
      </c>
      <c r="I64" s="1" t="s">
        <v>154</v>
      </c>
      <c r="J64" s="4">
        <v>0.05</v>
      </c>
      <c r="K64" s="4" t="s">
        <v>175</v>
      </c>
      <c r="L64" s="16">
        <v>7200</v>
      </c>
    </row>
    <row r="65" spans="1:12" x14ac:dyDescent="0.3">
      <c r="A65" s="12">
        <v>64</v>
      </c>
      <c r="B65" s="12">
        <v>64</v>
      </c>
      <c r="C65" s="1">
        <v>910</v>
      </c>
      <c r="D65" s="1">
        <f t="shared" si="0"/>
        <v>207950</v>
      </c>
      <c r="E65" s="1">
        <v>15642</v>
      </c>
      <c r="F65" s="1" t="s">
        <v>154</v>
      </c>
      <c r="G65" s="4">
        <v>0.05</v>
      </c>
      <c r="H65" s="1">
        <v>15642</v>
      </c>
      <c r="I65" s="1" t="s">
        <v>154</v>
      </c>
      <c r="J65" s="4">
        <v>0.05</v>
      </c>
      <c r="K65" s="4" t="s">
        <v>175</v>
      </c>
      <c r="L65" s="16">
        <v>7300</v>
      </c>
    </row>
    <row r="66" spans="1:12" x14ac:dyDescent="0.3">
      <c r="A66" s="12">
        <v>65</v>
      </c>
      <c r="B66" s="12">
        <v>65</v>
      </c>
      <c r="C66" s="1">
        <v>924</v>
      </c>
      <c r="D66" s="1">
        <f t="shared" si="0"/>
        <v>214450</v>
      </c>
      <c r="E66" s="1">
        <v>16130</v>
      </c>
      <c r="F66" s="1" t="s">
        <v>154</v>
      </c>
      <c r="G66" s="4">
        <v>0.05</v>
      </c>
      <c r="H66" s="1">
        <v>16130</v>
      </c>
      <c r="I66" s="1" t="s">
        <v>154</v>
      </c>
      <c r="J66" s="4">
        <v>0.05</v>
      </c>
      <c r="K66" s="4" t="s">
        <v>175</v>
      </c>
      <c r="L66" s="16">
        <v>7400</v>
      </c>
    </row>
    <row r="67" spans="1:12" x14ac:dyDescent="0.3">
      <c r="A67" s="12">
        <v>66</v>
      </c>
      <c r="B67" s="12">
        <v>66</v>
      </c>
      <c r="C67" s="1">
        <v>938</v>
      </c>
      <c r="D67" s="1">
        <f t="shared" si="0"/>
        <v>221050</v>
      </c>
      <c r="E67" s="1">
        <v>16625</v>
      </c>
      <c r="F67" s="1" t="s">
        <v>154</v>
      </c>
      <c r="G67" s="4">
        <v>0.05</v>
      </c>
      <c r="H67" s="1">
        <v>16625</v>
      </c>
      <c r="I67" s="1" t="s">
        <v>154</v>
      </c>
      <c r="J67" s="4">
        <v>0.05</v>
      </c>
      <c r="K67" s="4" t="s">
        <v>175</v>
      </c>
      <c r="L67" s="16">
        <v>7500</v>
      </c>
    </row>
    <row r="68" spans="1:12" x14ac:dyDescent="0.3">
      <c r="A68" s="12">
        <v>67</v>
      </c>
      <c r="B68" s="12">
        <v>67</v>
      </c>
      <c r="C68" s="1">
        <v>952</v>
      </c>
      <c r="D68" s="1">
        <f t="shared" ref="D68:D131" si="1">$D$2*A68+(D67+(A68*$D$2))</f>
        <v>227750</v>
      </c>
      <c r="E68" s="1">
        <v>17127</v>
      </c>
      <c r="F68" s="1" t="s">
        <v>154</v>
      </c>
      <c r="G68" s="4">
        <v>0.05</v>
      </c>
      <c r="H68" s="1">
        <v>17127</v>
      </c>
      <c r="I68" s="1" t="s">
        <v>154</v>
      </c>
      <c r="J68" s="4">
        <v>0.05</v>
      </c>
      <c r="K68" s="4" t="s">
        <v>175</v>
      </c>
      <c r="L68" s="16">
        <v>7600</v>
      </c>
    </row>
    <row r="69" spans="1:12" x14ac:dyDescent="0.3">
      <c r="A69" s="12">
        <v>68</v>
      </c>
      <c r="B69" s="12">
        <v>68</v>
      </c>
      <c r="C69" s="1">
        <v>966</v>
      </c>
      <c r="D69" s="1">
        <f t="shared" si="1"/>
        <v>234550</v>
      </c>
      <c r="E69" s="1">
        <v>17637</v>
      </c>
      <c r="F69" s="1" t="s">
        <v>154</v>
      </c>
      <c r="G69" s="4">
        <v>0.05</v>
      </c>
      <c r="H69" s="1">
        <v>17637</v>
      </c>
      <c r="I69" s="1" t="s">
        <v>154</v>
      </c>
      <c r="J69" s="4">
        <v>0.05</v>
      </c>
      <c r="K69" s="4" t="s">
        <v>175</v>
      </c>
      <c r="L69" s="16">
        <v>7700</v>
      </c>
    </row>
    <row r="70" spans="1:12" x14ac:dyDescent="0.3">
      <c r="A70" s="12">
        <v>69</v>
      </c>
      <c r="B70" s="12">
        <v>69</v>
      </c>
      <c r="C70" s="1">
        <v>980</v>
      </c>
      <c r="D70" s="1">
        <f t="shared" si="1"/>
        <v>241450</v>
      </c>
      <c r="E70" s="1">
        <v>18155</v>
      </c>
      <c r="F70" s="1" t="s">
        <v>154</v>
      </c>
      <c r="G70" s="4">
        <v>0.05</v>
      </c>
      <c r="H70" s="1">
        <v>18155</v>
      </c>
      <c r="I70" s="1" t="s">
        <v>154</v>
      </c>
      <c r="J70" s="4">
        <v>0.05</v>
      </c>
      <c r="K70" s="4" t="s">
        <v>175</v>
      </c>
      <c r="L70" s="16">
        <v>7800</v>
      </c>
    </row>
    <row r="71" spans="1:12" x14ac:dyDescent="0.3">
      <c r="A71" s="12">
        <v>70</v>
      </c>
      <c r="B71" s="12">
        <v>70</v>
      </c>
      <c r="C71" s="1">
        <v>994</v>
      </c>
      <c r="D71" s="1">
        <f t="shared" si="1"/>
        <v>248450</v>
      </c>
      <c r="E71" s="1">
        <v>18680</v>
      </c>
      <c r="F71" s="1" t="s">
        <v>157</v>
      </c>
      <c r="G71" s="4">
        <v>0.05</v>
      </c>
      <c r="H71" s="1">
        <v>18680</v>
      </c>
      <c r="I71" s="1" t="s">
        <v>157</v>
      </c>
      <c r="J71" s="4">
        <v>0.05</v>
      </c>
      <c r="K71" s="4" t="s">
        <v>175</v>
      </c>
      <c r="L71" s="16">
        <v>7900</v>
      </c>
    </row>
    <row r="72" spans="1:12" x14ac:dyDescent="0.3">
      <c r="A72" s="12">
        <v>71</v>
      </c>
      <c r="B72" s="12">
        <v>71</v>
      </c>
      <c r="C72" s="1">
        <v>1008</v>
      </c>
      <c r="D72" s="1">
        <f t="shared" si="1"/>
        <v>255550</v>
      </c>
      <c r="E72" s="1">
        <v>19212</v>
      </c>
      <c r="F72" s="1" t="s">
        <v>157</v>
      </c>
      <c r="G72" s="4">
        <v>0.05</v>
      </c>
      <c r="H72" s="1">
        <v>19212</v>
      </c>
      <c r="I72" s="1" t="s">
        <v>157</v>
      </c>
      <c r="J72" s="4">
        <v>0.05</v>
      </c>
      <c r="K72" s="4" t="s">
        <v>175</v>
      </c>
      <c r="L72" s="16">
        <v>8000</v>
      </c>
    </row>
    <row r="73" spans="1:12" x14ac:dyDescent="0.3">
      <c r="A73" s="12">
        <v>72</v>
      </c>
      <c r="B73" s="12">
        <v>72</v>
      </c>
      <c r="C73" s="1">
        <v>1022</v>
      </c>
      <c r="D73" s="1">
        <f t="shared" si="1"/>
        <v>262750</v>
      </c>
      <c r="E73" s="1">
        <v>19752</v>
      </c>
      <c r="F73" s="1" t="s">
        <v>157</v>
      </c>
      <c r="G73" s="4">
        <v>0.05</v>
      </c>
      <c r="H73" s="1">
        <v>19752</v>
      </c>
      <c r="I73" s="1" t="s">
        <v>157</v>
      </c>
      <c r="J73" s="4">
        <v>0.05</v>
      </c>
      <c r="K73" s="4" t="s">
        <v>175</v>
      </c>
      <c r="L73" s="16">
        <v>8100</v>
      </c>
    </row>
    <row r="74" spans="1:12" x14ac:dyDescent="0.3">
      <c r="A74" s="12">
        <v>73</v>
      </c>
      <c r="B74" s="12">
        <v>73</v>
      </c>
      <c r="C74" s="1">
        <v>1036</v>
      </c>
      <c r="D74" s="1">
        <f t="shared" si="1"/>
        <v>270050</v>
      </c>
      <c r="E74" s="1">
        <v>20300</v>
      </c>
      <c r="F74" s="1" t="s">
        <v>157</v>
      </c>
      <c r="G74" s="4">
        <v>0.05</v>
      </c>
      <c r="H74" s="1">
        <v>20300</v>
      </c>
      <c r="I74" s="1" t="s">
        <v>157</v>
      </c>
      <c r="J74" s="4">
        <v>0.05</v>
      </c>
      <c r="K74" s="4" t="s">
        <v>175</v>
      </c>
      <c r="L74" s="16">
        <v>8200</v>
      </c>
    </row>
    <row r="75" spans="1:12" x14ac:dyDescent="0.3">
      <c r="A75" s="12">
        <v>74</v>
      </c>
      <c r="B75" s="12">
        <v>74</v>
      </c>
      <c r="C75" s="1">
        <v>1050</v>
      </c>
      <c r="D75" s="1">
        <f t="shared" si="1"/>
        <v>277450</v>
      </c>
      <c r="E75" s="1">
        <v>20855</v>
      </c>
      <c r="F75" s="1" t="s">
        <v>157</v>
      </c>
      <c r="G75" s="4">
        <v>0.05</v>
      </c>
      <c r="H75" s="1">
        <v>20855</v>
      </c>
      <c r="I75" s="1" t="s">
        <v>157</v>
      </c>
      <c r="J75" s="4">
        <v>0.05</v>
      </c>
      <c r="K75" s="4" t="s">
        <v>175</v>
      </c>
      <c r="L75" s="16">
        <v>8300</v>
      </c>
    </row>
    <row r="76" spans="1:12" x14ac:dyDescent="0.3">
      <c r="A76" s="12">
        <v>75</v>
      </c>
      <c r="B76" s="12">
        <v>75</v>
      </c>
      <c r="C76" s="1">
        <v>1064</v>
      </c>
      <c r="D76" s="1">
        <f t="shared" si="1"/>
        <v>284950</v>
      </c>
      <c r="E76" s="1">
        <v>21417</v>
      </c>
      <c r="F76" s="1" t="s">
        <v>157</v>
      </c>
      <c r="G76" s="4">
        <v>0.05</v>
      </c>
      <c r="H76" s="1">
        <v>21417</v>
      </c>
      <c r="I76" s="1" t="s">
        <v>157</v>
      </c>
      <c r="J76" s="4">
        <v>0.05</v>
      </c>
      <c r="K76" s="4" t="s">
        <v>175</v>
      </c>
      <c r="L76" s="16">
        <v>8400</v>
      </c>
    </row>
    <row r="77" spans="1:12" x14ac:dyDescent="0.3">
      <c r="A77" s="12">
        <v>76</v>
      </c>
      <c r="B77" s="12">
        <v>76</v>
      </c>
      <c r="C77" s="1">
        <v>1078</v>
      </c>
      <c r="D77" s="1">
        <f t="shared" si="1"/>
        <v>292550</v>
      </c>
      <c r="E77" s="1">
        <v>21987</v>
      </c>
      <c r="F77" s="1" t="s">
        <v>157</v>
      </c>
      <c r="G77" s="4">
        <v>0.05</v>
      </c>
      <c r="H77" s="1">
        <v>21987</v>
      </c>
      <c r="I77" s="1" t="s">
        <v>157</v>
      </c>
      <c r="J77" s="4">
        <v>0.05</v>
      </c>
      <c r="K77" s="4" t="s">
        <v>175</v>
      </c>
      <c r="L77" s="16">
        <v>8500</v>
      </c>
    </row>
    <row r="78" spans="1:12" x14ac:dyDescent="0.3">
      <c r="A78" s="12">
        <v>77</v>
      </c>
      <c r="B78" s="12">
        <v>77</v>
      </c>
      <c r="C78" s="1">
        <v>1092</v>
      </c>
      <c r="D78" s="1">
        <f t="shared" si="1"/>
        <v>300250</v>
      </c>
      <c r="E78" s="1">
        <v>22565</v>
      </c>
      <c r="F78" s="1" t="s">
        <v>157</v>
      </c>
      <c r="G78" s="4">
        <v>0.05</v>
      </c>
      <c r="H78" s="1">
        <v>22565</v>
      </c>
      <c r="I78" s="1" t="s">
        <v>157</v>
      </c>
      <c r="J78" s="4">
        <v>0.05</v>
      </c>
      <c r="K78" s="4" t="s">
        <v>175</v>
      </c>
      <c r="L78" s="16">
        <v>8600</v>
      </c>
    </row>
    <row r="79" spans="1:12" x14ac:dyDescent="0.3">
      <c r="A79" s="12">
        <v>78</v>
      </c>
      <c r="B79" s="12">
        <v>78</v>
      </c>
      <c r="C79" s="1">
        <v>1106</v>
      </c>
      <c r="D79" s="1">
        <f t="shared" si="1"/>
        <v>308050</v>
      </c>
      <c r="E79" s="1">
        <v>23150</v>
      </c>
      <c r="F79" s="1" t="s">
        <v>157</v>
      </c>
      <c r="G79" s="4">
        <v>0.05</v>
      </c>
      <c r="H79" s="1">
        <v>23150</v>
      </c>
      <c r="I79" s="1" t="s">
        <v>157</v>
      </c>
      <c r="J79" s="4">
        <v>0.05</v>
      </c>
      <c r="K79" s="4" t="s">
        <v>175</v>
      </c>
      <c r="L79" s="16">
        <v>8700</v>
      </c>
    </row>
    <row r="80" spans="1:12" x14ac:dyDescent="0.3">
      <c r="A80" s="12">
        <v>79</v>
      </c>
      <c r="B80" s="12">
        <v>79</v>
      </c>
      <c r="C80" s="1">
        <v>1120</v>
      </c>
      <c r="D80" s="1">
        <f t="shared" si="1"/>
        <v>315950</v>
      </c>
      <c r="E80" s="1">
        <v>23742</v>
      </c>
      <c r="F80" s="1" t="s">
        <v>157</v>
      </c>
      <c r="G80" s="4">
        <v>0.05</v>
      </c>
      <c r="H80" s="1">
        <v>23742</v>
      </c>
      <c r="I80" s="1" t="s">
        <v>157</v>
      </c>
      <c r="J80" s="4">
        <v>0.05</v>
      </c>
      <c r="K80" s="4" t="s">
        <v>175</v>
      </c>
      <c r="L80" s="16">
        <v>8800</v>
      </c>
    </row>
    <row r="81" spans="1:12" x14ac:dyDescent="0.3">
      <c r="A81" s="13">
        <v>80</v>
      </c>
      <c r="B81" s="13">
        <v>80</v>
      </c>
      <c r="C81" s="1">
        <v>1134</v>
      </c>
      <c r="D81" s="1">
        <f t="shared" si="1"/>
        <v>323950</v>
      </c>
      <c r="E81" s="1">
        <v>24342</v>
      </c>
      <c r="F81" s="3" t="s">
        <v>155</v>
      </c>
      <c r="G81" s="4">
        <v>0.05</v>
      </c>
      <c r="H81" s="1">
        <v>24342</v>
      </c>
      <c r="I81" s="3" t="s">
        <v>155</v>
      </c>
      <c r="J81" s="4">
        <v>0.05</v>
      </c>
      <c r="K81" s="4" t="s">
        <v>175</v>
      </c>
      <c r="L81" s="16">
        <v>18000</v>
      </c>
    </row>
    <row r="82" spans="1:12" x14ac:dyDescent="0.3">
      <c r="A82" s="12">
        <v>81</v>
      </c>
      <c r="B82" s="12">
        <v>81</v>
      </c>
      <c r="C82" s="1">
        <v>1148</v>
      </c>
      <c r="D82" s="1">
        <f t="shared" si="1"/>
        <v>332050</v>
      </c>
      <c r="E82" s="1">
        <v>24950</v>
      </c>
      <c r="F82" s="3" t="s">
        <v>155</v>
      </c>
      <c r="G82" s="4">
        <v>0.05</v>
      </c>
      <c r="H82" s="1">
        <v>24950</v>
      </c>
      <c r="I82" s="3" t="s">
        <v>155</v>
      </c>
      <c r="J82" s="4">
        <v>0.05</v>
      </c>
      <c r="K82" s="4" t="s">
        <v>175</v>
      </c>
      <c r="L82" s="16">
        <v>9000</v>
      </c>
    </row>
    <row r="83" spans="1:12" x14ac:dyDescent="0.3">
      <c r="A83" s="12">
        <v>82</v>
      </c>
      <c r="B83" s="12">
        <v>82</v>
      </c>
      <c r="C83" s="1">
        <v>1162</v>
      </c>
      <c r="D83" s="1">
        <f t="shared" si="1"/>
        <v>340250</v>
      </c>
      <c r="E83" s="1">
        <v>25565</v>
      </c>
      <c r="F83" s="3" t="s">
        <v>155</v>
      </c>
      <c r="G83" s="4">
        <v>0.05</v>
      </c>
      <c r="H83" s="1">
        <v>25565</v>
      </c>
      <c r="I83" s="3" t="s">
        <v>155</v>
      </c>
      <c r="J83" s="4">
        <v>0.05</v>
      </c>
      <c r="K83" s="4" t="s">
        <v>175</v>
      </c>
      <c r="L83" s="16">
        <v>9100</v>
      </c>
    </row>
    <row r="84" spans="1:12" x14ac:dyDescent="0.3">
      <c r="A84" s="12">
        <v>83</v>
      </c>
      <c r="B84" s="12">
        <v>83</v>
      </c>
      <c r="C84" s="1">
        <v>1176</v>
      </c>
      <c r="D84" s="1">
        <f t="shared" si="1"/>
        <v>348550</v>
      </c>
      <c r="E84" s="1">
        <v>26187</v>
      </c>
      <c r="F84" s="3" t="s">
        <v>155</v>
      </c>
      <c r="G84" s="4">
        <v>0.05</v>
      </c>
      <c r="H84" s="1">
        <v>26187</v>
      </c>
      <c r="I84" s="3" t="s">
        <v>155</v>
      </c>
      <c r="J84" s="4">
        <v>0.05</v>
      </c>
      <c r="K84" s="4" t="s">
        <v>175</v>
      </c>
      <c r="L84" s="16">
        <v>9200</v>
      </c>
    </row>
    <row r="85" spans="1:12" x14ac:dyDescent="0.3">
      <c r="A85" s="12">
        <v>84</v>
      </c>
      <c r="B85" s="12">
        <v>84</v>
      </c>
      <c r="C85" s="1">
        <v>1190</v>
      </c>
      <c r="D85" s="1">
        <f t="shared" si="1"/>
        <v>356950</v>
      </c>
      <c r="E85" s="1">
        <v>26817</v>
      </c>
      <c r="F85" s="3" t="s">
        <v>155</v>
      </c>
      <c r="G85" s="4">
        <v>0.05</v>
      </c>
      <c r="H85" s="1">
        <v>26817</v>
      </c>
      <c r="I85" s="3" t="s">
        <v>155</v>
      </c>
      <c r="J85" s="4">
        <v>0.05</v>
      </c>
      <c r="K85" s="4" t="s">
        <v>175</v>
      </c>
      <c r="L85" s="16">
        <v>9300</v>
      </c>
    </row>
    <row r="86" spans="1:12" x14ac:dyDescent="0.3">
      <c r="A86" s="12">
        <v>85</v>
      </c>
      <c r="B86" s="12">
        <v>85</v>
      </c>
      <c r="C86" s="1">
        <v>1204</v>
      </c>
      <c r="D86" s="1">
        <f t="shared" si="1"/>
        <v>365450</v>
      </c>
      <c r="E86" s="1">
        <v>27455</v>
      </c>
      <c r="F86" s="3" t="s">
        <v>155</v>
      </c>
      <c r="G86" s="4">
        <v>0.05</v>
      </c>
      <c r="H86" s="1">
        <v>27455</v>
      </c>
      <c r="I86" s="3" t="s">
        <v>155</v>
      </c>
      <c r="J86" s="4">
        <v>0.05</v>
      </c>
      <c r="K86" s="4" t="s">
        <v>175</v>
      </c>
      <c r="L86" s="16">
        <v>9400</v>
      </c>
    </row>
    <row r="87" spans="1:12" x14ac:dyDescent="0.3">
      <c r="A87" s="12">
        <v>86</v>
      </c>
      <c r="B87" s="12">
        <v>86</v>
      </c>
      <c r="C87" s="1">
        <v>1218</v>
      </c>
      <c r="D87" s="1">
        <f t="shared" si="1"/>
        <v>374050</v>
      </c>
      <c r="E87" s="1">
        <v>28100</v>
      </c>
      <c r="F87" s="3" t="s">
        <v>155</v>
      </c>
      <c r="G87" s="4">
        <v>0.05</v>
      </c>
      <c r="H87" s="1">
        <v>28100</v>
      </c>
      <c r="I87" s="3" t="s">
        <v>155</v>
      </c>
      <c r="J87" s="4">
        <v>0.05</v>
      </c>
      <c r="K87" s="4" t="s">
        <v>175</v>
      </c>
      <c r="L87" s="16">
        <v>9500</v>
      </c>
    </row>
    <row r="88" spans="1:12" x14ac:dyDescent="0.3">
      <c r="A88" s="12">
        <v>87</v>
      </c>
      <c r="B88" s="12">
        <v>87</v>
      </c>
      <c r="C88" s="1">
        <v>1232</v>
      </c>
      <c r="D88" s="1">
        <f t="shared" si="1"/>
        <v>382750</v>
      </c>
      <c r="E88" s="1">
        <v>28752</v>
      </c>
      <c r="F88" s="3" t="s">
        <v>155</v>
      </c>
      <c r="G88" s="4">
        <v>0.05</v>
      </c>
      <c r="H88" s="1">
        <v>28752</v>
      </c>
      <c r="I88" s="3" t="s">
        <v>155</v>
      </c>
      <c r="J88" s="4">
        <v>0.05</v>
      </c>
      <c r="K88" s="4" t="s">
        <v>175</v>
      </c>
      <c r="L88" s="16">
        <v>9600</v>
      </c>
    </row>
    <row r="89" spans="1:12" x14ac:dyDescent="0.3">
      <c r="A89" s="12">
        <v>88</v>
      </c>
      <c r="B89" s="12">
        <v>88</v>
      </c>
      <c r="C89" s="1">
        <v>1246</v>
      </c>
      <c r="D89" s="1">
        <f t="shared" si="1"/>
        <v>391550</v>
      </c>
      <c r="E89" s="1">
        <v>29412</v>
      </c>
      <c r="F89" s="3" t="s">
        <v>155</v>
      </c>
      <c r="G89" s="4">
        <v>0.05</v>
      </c>
      <c r="H89" s="1">
        <v>29412</v>
      </c>
      <c r="I89" s="3" t="s">
        <v>155</v>
      </c>
      <c r="J89" s="4">
        <v>0.05</v>
      </c>
      <c r="K89" s="4" t="s">
        <v>175</v>
      </c>
      <c r="L89" s="16">
        <v>9700</v>
      </c>
    </row>
    <row r="90" spans="1:12" x14ac:dyDescent="0.3">
      <c r="A90" s="12">
        <v>89</v>
      </c>
      <c r="B90" s="12">
        <v>89</v>
      </c>
      <c r="C90" s="1">
        <v>1260</v>
      </c>
      <c r="D90" s="1">
        <f t="shared" si="1"/>
        <v>400450</v>
      </c>
      <c r="E90" s="1">
        <v>30080</v>
      </c>
      <c r="F90" s="3" t="s">
        <v>155</v>
      </c>
      <c r="G90" s="4">
        <v>0.05</v>
      </c>
      <c r="H90" s="1">
        <v>30080</v>
      </c>
      <c r="I90" s="3" t="s">
        <v>155</v>
      </c>
      <c r="J90" s="4">
        <v>0.05</v>
      </c>
      <c r="K90" s="4" t="s">
        <v>175</v>
      </c>
      <c r="L90" s="16">
        <v>9800</v>
      </c>
    </row>
    <row r="91" spans="1:12" x14ac:dyDescent="0.3">
      <c r="A91" s="12">
        <v>90</v>
      </c>
      <c r="B91" s="12">
        <v>90</v>
      </c>
      <c r="C91" s="1">
        <v>1274</v>
      </c>
      <c r="D91" s="1">
        <f t="shared" si="1"/>
        <v>409450</v>
      </c>
      <c r="E91" s="1">
        <v>30755</v>
      </c>
      <c r="F91" s="1" t="s">
        <v>156</v>
      </c>
      <c r="G91" s="4">
        <v>0.05</v>
      </c>
      <c r="H91" s="1">
        <v>30755</v>
      </c>
      <c r="I91" s="1" t="s">
        <v>156</v>
      </c>
      <c r="J91" s="4">
        <v>0.05</v>
      </c>
      <c r="K91" s="4" t="s">
        <v>175</v>
      </c>
      <c r="L91" s="16">
        <v>9900</v>
      </c>
    </row>
    <row r="92" spans="1:12" x14ac:dyDescent="0.3">
      <c r="A92" s="12">
        <v>91</v>
      </c>
      <c r="B92" s="12">
        <v>91</v>
      </c>
      <c r="C92" s="1">
        <v>1288</v>
      </c>
      <c r="D92" s="1">
        <f t="shared" si="1"/>
        <v>418550</v>
      </c>
      <c r="E92" s="1">
        <v>31437</v>
      </c>
      <c r="F92" s="1" t="s">
        <v>156</v>
      </c>
      <c r="G92" s="4">
        <v>0.05</v>
      </c>
      <c r="H92" s="1">
        <v>31437</v>
      </c>
      <c r="I92" s="1" t="s">
        <v>156</v>
      </c>
      <c r="J92" s="4">
        <v>0.05</v>
      </c>
      <c r="K92" s="4" t="s">
        <v>175</v>
      </c>
      <c r="L92" s="16">
        <v>10000</v>
      </c>
    </row>
    <row r="93" spans="1:12" x14ac:dyDescent="0.3">
      <c r="A93" s="12">
        <v>92</v>
      </c>
      <c r="B93" s="12">
        <v>92</v>
      </c>
      <c r="C93" s="1">
        <v>1302</v>
      </c>
      <c r="D93" s="1">
        <f t="shared" si="1"/>
        <v>427750</v>
      </c>
      <c r="E93" s="1">
        <v>32127</v>
      </c>
      <c r="F93" s="1" t="s">
        <v>156</v>
      </c>
      <c r="G93" s="4">
        <v>0.05</v>
      </c>
      <c r="H93" s="1">
        <v>32127</v>
      </c>
      <c r="I93" s="1" t="s">
        <v>156</v>
      </c>
      <c r="J93" s="4">
        <v>0.05</v>
      </c>
      <c r="K93" s="4" t="s">
        <v>175</v>
      </c>
      <c r="L93" s="16">
        <v>10100</v>
      </c>
    </row>
    <row r="94" spans="1:12" x14ac:dyDescent="0.3">
      <c r="A94" s="12">
        <v>93</v>
      </c>
      <c r="B94" s="12">
        <v>93</v>
      </c>
      <c r="C94" s="1">
        <v>1316</v>
      </c>
      <c r="D94" s="1">
        <f t="shared" si="1"/>
        <v>437050</v>
      </c>
      <c r="E94" s="1">
        <v>32825</v>
      </c>
      <c r="F94" s="1" t="s">
        <v>156</v>
      </c>
      <c r="G94" s="4">
        <v>0.05</v>
      </c>
      <c r="H94" s="1">
        <v>32825</v>
      </c>
      <c r="I94" s="1" t="s">
        <v>156</v>
      </c>
      <c r="J94" s="4">
        <v>0.05</v>
      </c>
      <c r="K94" s="4" t="s">
        <v>175</v>
      </c>
      <c r="L94" s="16">
        <v>10200</v>
      </c>
    </row>
    <row r="95" spans="1:12" x14ac:dyDescent="0.3">
      <c r="A95" s="12">
        <v>94</v>
      </c>
      <c r="B95" s="12">
        <v>94</v>
      </c>
      <c r="C95" s="1">
        <v>1330</v>
      </c>
      <c r="D95" s="1">
        <f t="shared" si="1"/>
        <v>446450</v>
      </c>
      <c r="E95" s="1">
        <v>33530</v>
      </c>
      <c r="F95" s="1" t="s">
        <v>156</v>
      </c>
      <c r="G95" s="4">
        <v>0.05</v>
      </c>
      <c r="H95" s="1">
        <v>33530</v>
      </c>
      <c r="I95" s="1" t="s">
        <v>156</v>
      </c>
      <c r="J95" s="4">
        <v>0.05</v>
      </c>
      <c r="K95" s="4" t="s">
        <v>175</v>
      </c>
      <c r="L95" s="16">
        <v>10300</v>
      </c>
    </row>
    <row r="96" spans="1:12" x14ac:dyDescent="0.3">
      <c r="A96" s="12">
        <v>95</v>
      </c>
      <c r="B96" s="12">
        <v>95</v>
      </c>
      <c r="C96" s="1">
        <v>1344</v>
      </c>
      <c r="D96" s="1">
        <f t="shared" si="1"/>
        <v>455950</v>
      </c>
      <c r="E96" s="1">
        <v>34242</v>
      </c>
      <c r="F96" s="1" t="s">
        <v>156</v>
      </c>
      <c r="G96" s="4">
        <v>0.05</v>
      </c>
      <c r="H96" s="1">
        <v>34242</v>
      </c>
      <c r="I96" s="1" t="s">
        <v>156</v>
      </c>
      <c r="J96" s="4">
        <v>0.05</v>
      </c>
      <c r="K96" s="4" t="s">
        <v>175</v>
      </c>
      <c r="L96" s="16">
        <v>10400</v>
      </c>
    </row>
    <row r="97" spans="1:12" x14ac:dyDescent="0.3">
      <c r="A97" s="12">
        <v>96</v>
      </c>
      <c r="B97" s="12">
        <v>96</v>
      </c>
      <c r="C97" s="1">
        <v>1358</v>
      </c>
      <c r="D97" s="1">
        <f t="shared" si="1"/>
        <v>465550</v>
      </c>
      <c r="E97" s="1">
        <v>34962</v>
      </c>
      <c r="F97" s="1" t="s">
        <v>156</v>
      </c>
      <c r="G97" s="4">
        <v>0.05</v>
      </c>
      <c r="H97" s="1">
        <v>34962</v>
      </c>
      <c r="I97" s="1" t="s">
        <v>156</v>
      </c>
      <c r="J97" s="4">
        <v>0.05</v>
      </c>
      <c r="K97" s="4" t="s">
        <v>175</v>
      </c>
      <c r="L97" s="16">
        <v>10500</v>
      </c>
    </row>
    <row r="98" spans="1:12" x14ac:dyDescent="0.3">
      <c r="A98" s="12">
        <v>97</v>
      </c>
      <c r="B98" s="12">
        <v>97</v>
      </c>
      <c r="C98" s="1">
        <v>1372</v>
      </c>
      <c r="D98" s="1">
        <f t="shared" si="1"/>
        <v>475250</v>
      </c>
      <c r="E98" s="1">
        <v>35690</v>
      </c>
      <c r="F98" s="1" t="s">
        <v>156</v>
      </c>
      <c r="G98" s="4">
        <v>0.05</v>
      </c>
      <c r="H98" s="1">
        <v>35690</v>
      </c>
      <c r="I98" s="1" t="s">
        <v>156</v>
      </c>
      <c r="J98" s="4">
        <v>0.05</v>
      </c>
      <c r="K98" s="4" t="s">
        <v>175</v>
      </c>
      <c r="L98" s="16">
        <v>10600</v>
      </c>
    </row>
    <row r="99" spans="1:12" x14ac:dyDescent="0.3">
      <c r="A99" s="12">
        <v>98</v>
      </c>
      <c r="B99" s="12">
        <v>98</v>
      </c>
      <c r="C99" s="1">
        <v>1386</v>
      </c>
      <c r="D99" s="1">
        <f t="shared" si="1"/>
        <v>485050</v>
      </c>
      <c r="E99" s="1">
        <v>36425</v>
      </c>
      <c r="F99" s="1" t="s">
        <v>156</v>
      </c>
      <c r="G99" s="4">
        <v>0.05</v>
      </c>
      <c r="H99" s="1">
        <v>36425</v>
      </c>
      <c r="I99" s="1" t="s">
        <v>156</v>
      </c>
      <c r="J99" s="4">
        <v>0.05</v>
      </c>
      <c r="K99" s="4" t="s">
        <v>175</v>
      </c>
      <c r="L99" s="16">
        <v>10700</v>
      </c>
    </row>
    <row r="100" spans="1:12" x14ac:dyDescent="0.3">
      <c r="A100" s="12">
        <v>99</v>
      </c>
      <c r="B100" s="12">
        <v>99</v>
      </c>
      <c r="C100" s="1">
        <v>1400</v>
      </c>
      <c r="D100" s="1">
        <f t="shared" si="1"/>
        <v>494950</v>
      </c>
      <c r="E100" s="1">
        <v>37167</v>
      </c>
      <c r="F100" s="1" t="s">
        <v>156</v>
      </c>
      <c r="G100" s="4">
        <v>0.05</v>
      </c>
      <c r="H100" s="1">
        <v>37167</v>
      </c>
      <c r="I100" s="1" t="s">
        <v>156</v>
      </c>
      <c r="J100" s="4">
        <v>0.05</v>
      </c>
      <c r="K100" s="4" t="s">
        <v>175</v>
      </c>
      <c r="L100" s="16">
        <v>10800</v>
      </c>
    </row>
    <row r="101" spans="1:12" x14ac:dyDescent="0.3">
      <c r="A101" s="13">
        <v>100</v>
      </c>
      <c r="B101" s="13">
        <v>100</v>
      </c>
      <c r="C101" s="1">
        <v>1414</v>
      </c>
      <c r="D101" s="1">
        <f t="shared" si="1"/>
        <v>504950</v>
      </c>
      <c r="E101" s="1">
        <v>37917</v>
      </c>
      <c r="F101" s="1" t="s">
        <v>158</v>
      </c>
      <c r="G101" s="4">
        <v>0.05</v>
      </c>
      <c r="H101" s="1">
        <v>37917</v>
      </c>
      <c r="I101" s="1" t="s">
        <v>158</v>
      </c>
      <c r="J101" s="4">
        <v>0.05</v>
      </c>
      <c r="K101" s="4" t="s">
        <v>175</v>
      </c>
      <c r="L101" s="16">
        <v>22000</v>
      </c>
    </row>
    <row r="102" spans="1:12" x14ac:dyDescent="0.3">
      <c r="A102" s="12">
        <v>101</v>
      </c>
      <c r="B102" s="12">
        <v>101</v>
      </c>
      <c r="C102" s="1">
        <v>1428</v>
      </c>
      <c r="D102" s="1">
        <f t="shared" si="1"/>
        <v>515050</v>
      </c>
      <c r="E102" s="1">
        <v>38675</v>
      </c>
      <c r="F102" s="1" t="s">
        <v>158</v>
      </c>
      <c r="G102" s="4">
        <v>0.05</v>
      </c>
      <c r="H102" s="1">
        <v>38675</v>
      </c>
      <c r="I102" s="1" t="s">
        <v>158</v>
      </c>
      <c r="J102" s="4">
        <v>0.05</v>
      </c>
      <c r="K102" s="4" t="s">
        <v>175</v>
      </c>
      <c r="L102" s="16">
        <v>11000</v>
      </c>
    </row>
    <row r="103" spans="1:12" x14ac:dyDescent="0.3">
      <c r="A103" s="12">
        <v>102</v>
      </c>
      <c r="B103" s="12">
        <v>102</v>
      </c>
      <c r="C103" s="1">
        <v>1442</v>
      </c>
      <c r="D103" s="1">
        <f t="shared" si="1"/>
        <v>525250</v>
      </c>
      <c r="E103" s="1">
        <v>39440</v>
      </c>
      <c r="F103" s="1" t="s">
        <v>158</v>
      </c>
      <c r="G103" s="4">
        <v>0.05</v>
      </c>
      <c r="H103" s="1">
        <v>39440</v>
      </c>
      <c r="I103" s="1" t="s">
        <v>158</v>
      </c>
      <c r="J103" s="4">
        <v>0.05</v>
      </c>
      <c r="K103" s="4" t="s">
        <v>175</v>
      </c>
      <c r="L103" s="16">
        <v>11100</v>
      </c>
    </row>
    <row r="104" spans="1:12" x14ac:dyDescent="0.3">
      <c r="A104" s="12">
        <v>103</v>
      </c>
      <c r="B104" s="12">
        <v>103</v>
      </c>
      <c r="C104" s="1">
        <v>1456</v>
      </c>
      <c r="D104" s="1">
        <f t="shared" si="1"/>
        <v>535550</v>
      </c>
      <c r="E104" s="1">
        <v>40212</v>
      </c>
      <c r="F104" s="1" t="s">
        <v>158</v>
      </c>
      <c r="G104" s="4">
        <v>0.05</v>
      </c>
      <c r="H104" s="1">
        <v>40212</v>
      </c>
      <c r="I104" s="1" t="s">
        <v>158</v>
      </c>
      <c r="J104" s="4">
        <v>0.05</v>
      </c>
      <c r="K104" s="4" t="s">
        <v>175</v>
      </c>
      <c r="L104" s="16">
        <v>11200</v>
      </c>
    </row>
    <row r="105" spans="1:12" x14ac:dyDescent="0.3">
      <c r="A105" s="12">
        <v>104</v>
      </c>
      <c r="B105" s="12">
        <v>104</v>
      </c>
      <c r="C105" s="1">
        <v>1470</v>
      </c>
      <c r="D105" s="1">
        <f t="shared" si="1"/>
        <v>545950</v>
      </c>
      <c r="E105" s="1">
        <v>40992</v>
      </c>
      <c r="F105" s="1" t="s">
        <v>158</v>
      </c>
      <c r="G105" s="4">
        <v>0.05</v>
      </c>
      <c r="H105" s="1">
        <v>40992</v>
      </c>
      <c r="I105" s="1" t="s">
        <v>158</v>
      </c>
      <c r="J105" s="4">
        <v>0.05</v>
      </c>
      <c r="K105" s="4" t="s">
        <v>175</v>
      </c>
      <c r="L105" s="16">
        <v>11300</v>
      </c>
    </row>
    <row r="106" spans="1:12" x14ac:dyDescent="0.3">
      <c r="A106" s="12">
        <v>105</v>
      </c>
      <c r="B106" s="12">
        <v>105</v>
      </c>
      <c r="C106" s="1">
        <v>1484</v>
      </c>
      <c r="D106" s="1">
        <f t="shared" si="1"/>
        <v>556450</v>
      </c>
      <c r="E106" s="1">
        <v>41780</v>
      </c>
      <c r="F106" s="1" t="s">
        <v>158</v>
      </c>
      <c r="G106" s="4">
        <v>0.05</v>
      </c>
      <c r="H106" s="1">
        <v>41780</v>
      </c>
      <c r="I106" s="1" t="s">
        <v>158</v>
      </c>
      <c r="J106" s="4">
        <v>0.05</v>
      </c>
      <c r="K106" s="4" t="s">
        <v>175</v>
      </c>
      <c r="L106" s="16">
        <v>11400</v>
      </c>
    </row>
    <row r="107" spans="1:12" x14ac:dyDescent="0.3">
      <c r="A107" s="12">
        <v>106</v>
      </c>
      <c r="B107" s="12">
        <v>106</v>
      </c>
      <c r="C107" s="1">
        <v>1498</v>
      </c>
      <c r="D107" s="1">
        <f t="shared" si="1"/>
        <v>567050</v>
      </c>
      <c r="E107" s="1">
        <v>42575</v>
      </c>
      <c r="F107" s="1" t="s">
        <v>158</v>
      </c>
      <c r="G107" s="4">
        <v>0.05</v>
      </c>
      <c r="H107" s="1">
        <v>42575</v>
      </c>
      <c r="I107" s="1" t="s">
        <v>158</v>
      </c>
      <c r="J107" s="4">
        <v>0.05</v>
      </c>
      <c r="K107" s="4" t="s">
        <v>175</v>
      </c>
      <c r="L107" s="16">
        <v>11500</v>
      </c>
    </row>
    <row r="108" spans="1:12" x14ac:dyDescent="0.3">
      <c r="A108" s="12">
        <v>107</v>
      </c>
      <c r="B108" s="12">
        <v>107</v>
      </c>
      <c r="C108" s="1">
        <v>1512</v>
      </c>
      <c r="D108" s="1">
        <f t="shared" si="1"/>
        <v>577750</v>
      </c>
      <c r="E108" s="1">
        <v>43377</v>
      </c>
      <c r="F108" s="1" t="s">
        <v>158</v>
      </c>
      <c r="G108" s="4">
        <v>0.05</v>
      </c>
      <c r="H108" s="1">
        <v>43377</v>
      </c>
      <c r="I108" s="1" t="s">
        <v>158</v>
      </c>
      <c r="J108" s="4">
        <v>0.05</v>
      </c>
      <c r="K108" s="4" t="s">
        <v>175</v>
      </c>
      <c r="L108" s="16">
        <v>11600</v>
      </c>
    </row>
    <row r="109" spans="1:12" x14ac:dyDescent="0.3">
      <c r="A109" s="12">
        <v>108</v>
      </c>
      <c r="B109" s="12">
        <v>108</v>
      </c>
      <c r="C109" s="1">
        <v>1526</v>
      </c>
      <c r="D109" s="1">
        <f t="shared" si="1"/>
        <v>588550</v>
      </c>
      <c r="E109" s="1">
        <v>44187</v>
      </c>
      <c r="F109" s="1" t="s">
        <v>158</v>
      </c>
      <c r="G109" s="4">
        <v>0.05</v>
      </c>
      <c r="H109" s="1">
        <v>44187</v>
      </c>
      <c r="I109" s="1" t="s">
        <v>158</v>
      </c>
      <c r="J109" s="4">
        <v>0.05</v>
      </c>
      <c r="K109" s="4" t="s">
        <v>175</v>
      </c>
      <c r="L109" s="16">
        <v>11700</v>
      </c>
    </row>
    <row r="110" spans="1:12" x14ac:dyDescent="0.3">
      <c r="A110" s="12">
        <v>109</v>
      </c>
      <c r="B110" s="12">
        <v>109</v>
      </c>
      <c r="C110" s="1">
        <v>1540</v>
      </c>
      <c r="D110" s="1">
        <f t="shared" si="1"/>
        <v>599450</v>
      </c>
      <c r="E110" s="1">
        <v>45005</v>
      </c>
      <c r="F110" s="1" t="s">
        <v>158</v>
      </c>
      <c r="G110" s="4">
        <v>0.05</v>
      </c>
      <c r="H110" s="1">
        <v>45005</v>
      </c>
      <c r="I110" s="1" t="s">
        <v>158</v>
      </c>
      <c r="J110" s="4">
        <v>0.05</v>
      </c>
      <c r="K110" s="4" t="s">
        <v>175</v>
      </c>
      <c r="L110" s="16">
        <v>11800</v>
      </c>
    </row>
    <row r="111" spans="1:12" x14ac:dyDescent="0.3">
      <c r="A111" s="12">
        <v>110</v>
      </c>
      <c r="B111" s="12">
        <v>110</v>
      </c>
      <c r="C111" s="1">
        <v>1554</v>
      </c>
      <c r="D111" s="1">
        <f t="shared" si="1"/>
        <v>610450</v>
      </c>
      <c r="E111" s="1">
        <v>45830</v>
      </c>
      <c r="F111" s="3" t="s">
        <v>159</v>
      </c>
      <c r="G111" s="4">
        <v>0.05</v>
      </c>
      <c r="H111" s="1">
        <v>45830</v>
      </c>
      <c r="I111" s="3" t="s">
        <v>159</v>
      </c>
      <c r="J111" s="4">
        <v>0.05</v>
      </c>
      <c r="K111" s="4" t="s">
        <v>175</v>
      </c>
      <c r="L111" s="16">
        <v>11900</v>
      </c>
    </row>
    <row r="112" spans="1:12" x14ac:dyDescent="0.3">
      <c r="A112" s="12">
        <v>111</v>
      </c>
      <c r="B112" s="12">
        <v>111</v>
      </c>
      <c r="C112" s="1">
        <v>1568</v>
      </c>
      <c r="D112" s="1">
        <f t="shared" si="1"/>
        <v>621550</v>
      </c>
      <c r="E112" s="1">
        <v>46662</v>
      </c>
      <c r="F112" s="3" t="s">
        <v>159</v>
      </c>
      <c r="G112" s="4">
        <v>0.05</v>
      </c>
      <c r="H112" s="1">
        <v>46662</v>
      </c>
      <c r="I112" s="3" t="s">
        <v>159</v>
      </c>
      <c r="J112" s="4">
        <v>0.05</v>
      </c>
      <c r="K112" s="4" t="s">
        <v>175</v>
      </c>
      <c r="L112" s="16">
        <v>12000</v>
      </c>
    </row>
    <row r="113" spans="1:12" x14ac:dyDescent="0.3">
      <c r="A113" s="12">
        <v>112</v>
      </c>
      <c r="B113" s="12">
        <v>112</v>
      </c>
      <c r="C113" s="1">
        <v>1582</v>
      </c>
      <c r="D113" s="1">
        <f t="shared" si="1"/>
        <v>632750</v>
      </c>
      <c r="E113" s="1">
        <v>47502</v>
      </c>
      <c r="F113" s="3" t="s">
        <v>159</v>
      </c>
      <c r="G113" s="4">
        <v>0.05</v>
      </c>
      <c r="H113" s="1">
        <v>47502</v>
      </c>
      <c r="I113" s="3" t="s">
        <v>159</v>
      </c>
      <c r="J113" s="4">
        <v>0.05</v>
      </c>
      <c r="K113" s="4" t="s">
        <v>175</v>
      </c>
      <c r="L113" s="16">
        <v>12100</v>
      </c>
    </row>
    <row r="114" spans="1:12" x14ac:dyDescent="0.3">
      <c r="A114" s="12">
        <v>113</v>
      </c>
      <c r="B114" s="12">
        <v>113</v>
      </c>
      <c r="C114" s="1">
        <v>1596</v>
      </c>
      <c r="D114" s="1">
        <f t="shared" si="1"/>
        <v>644050</v>
      </c>
      <c r="E114" s="1">
        <v>48350</v>
      </c>
      <c r="F114" s="3" t="s">
        <v>159</v>
      </c>
      <c r="G114" s="4">
        <v>0.05</v>
      </c>
      <c r="H114" s="1">
        <v>48350</v>
      </c>
      <c r="I114" s="3" t="s">
        <v>159</v>
      </c>
      <c r="J114" s="4">
        <v>0.05</v>
      </c>
      <c r="K114" s="4" t="s">
        <v>175</v>
      </c>
      <c r="L114" s="16">
        <v>12200</v>
      </c>
    </row>
    <row r="115" spans="1:12" x14ac:dyDescent="0.3">
      <c r="A115" s="12">
        <v>114</v>
      </c>
      <c r="B115" s="12">
        <v>114</v>
      </c>
      <c r="C115" s="1">
        <v>1610</v>
      </c>
      <c r="D115" s="1">
        <f t="shared" si="1"/>
        <v>655450</v>
      </c>
      <c r="E115" s="1">
        <v>49205</v>
      </c>
      <c r="F115" s="3" t="s">
        <v>159</v>
      </c>
      <c r="G115" s="4">
        <v>0.05</v>
      </c>
      <c r="H115" s="1">
        <v>49205</v>
      </c>
      <c r="I115" s="3" t="s">
        <v>159</v>
      </c>
      <c r="J115" s="4">
        <v>0.05</v>
      </c>
      <c r="K115" s="4" t="s">
        <v>175</v>
      </c>
      <c r="L115" s="16">
        <v>12300</v>
      </c>
    </row>
    <row r="116" spans="1:12" x14ac:dyDescent="0.3">
      <c r="A116" s="12">
        <v>115</v>
      </c>
      <c r="B116" s="12">
        <v>115</v>
      </c>
      <c r="C116" s="1">
        <v>1624</v>
      </c>
      <c r="D116" s="1">
        <f t="shared" si="1"/>
        <v>666950</v>
      </c>
      <c r="E116" s="1">
        <v>50067</v>
      </c>
      <c r="F116" s="3" t="s">
        <v>159</v>
      </c>
      <c r="G116" s="4">
        <v>0.05</v>
      </c>
      <c r="H116" s="1">
        <v>50067</v>
      </c>
      <c r="I116" s="3" t="s">
        <v>159</v>
      </c>
      <c r="J116" s="4">
        <v>0.05</v>
      </c>
      <c r="K116" s="4" t="s">
        <v>175</v>
      </c>
      <c r="L116" s="16">
        <v>12400</v>
      </c>
    </row>
    <row r="117" spans="1:12" x14ac:dyDescent="0.3">
      <c r="A117" s="12">
        <v>116</v>
      </c>
      <c r="B117" s="12">
        <v>116</v>
      </c>
      <c r="C117" s="1">
        <v>1638</v>
      </c>
      <c r="D117" s="1">
        <f t="shared" si="1"/>
        <v>678550</v>
      </c>
      <c r="E117" s="1">
        <v>50937</v>
      </c>
      <c r="F117" s="3" t="s">
        <v>159</v>
      </c>
      <c r="G117" s="4">
        <v>0.05</v>
      </c>
      <c r="H117" s="1">
        <v>50937</v>
      </c>
      <c r="I117" s="3" t="s">
        <v>159</v>
      </c>
      <c r="J117" s="4">
        <v>0.05</v>
      </c>
      <c r="K117" s="4" t="s">
        <v>175</v>
      </c>
      <c r="L117" s="16">
        <v>12500</v>
      </c>
    </row>
    <row r="118" spans="1:12" x14ac:dyDescent="0.3">
      <c r="A118" s="12">
        <v>117</v>
      </c>
      <c r="B118" s="12">
        <v>117</v>
      </c>
      <c r="C118" s="1">
        <v>1652</v>
      </c>
      <c r="D118" s="1">
        <f t="shared" si="1"/>
        <v>690250</v>
      </c>
      <c r="E118" s="1">
        <v>51815</v>
      </c>
      <c r="F118" s="3" t="s">
        <v>159</v>
      </c>
      <c r="G118" s="4">
        <v>0.05</v>
      </c>
      <c r="H118" s="1">
        <v>51815</v>
      </c>
      <c r="I118" s="3" t="s">
        <v>159</v>
      </c>
      <c r="J118" s="4">
        <v>0.05</v>
      </c>
      <c r="K118" s="4" t="s">
        <v>175</v>
      </c>
      <c r="L118" s="16">
        <v>12600</v>
      </c>
    </row>
    <row r="119" spans="1:12" x14ac:dyDescent="0.3">
      <c r="A119" s="12">
        <v>118</v>
      </c>
      <c r="B119" s="12">
        <v>118</v>
      </c>
      <c r="C119" s="1">
        <v>1666</v>
      </c>
      <c r="D119" s="1">
        <f t="shared" si="1"/>
        <v>702050</v>
      </c>
      <c r="E119" s="1">
        <v>52700</v>
      </c>
      <c r="F119" s="3" t="s">
        <v>159</v>
      </c>
      <c r="G119" s="4">
        <v>0.05</v>
      </c>
      <c r="H119" s="1">
        <v>52700</v>
      </c>
      <c r="I119" s="3" t="s">
        <v>159</v>
      </c>
      <c r="J119" s="4">
        <v>0.05</v>
      </c>
      <c r="K119" s="4" t="s">
        <v>175</v>
      </c>
      <c r="L119" s="16">
        <v>12700</v>
      </c>
    </row>
    <row r="120" spans="1:12" x14ac:dyDescent="0.3">
      <c r="A120" s="12">
        <v>119</v>
      </c>
      <c r="B120" s="12">
        <v>119</v>
      </c>
      <c r="C120" s="1">
        <v>1680</v>
      </c>
      <c r="D120" s="1">
        <f t="shared" si="1"/>
        <v>713950</v>
      </c>
      <c r="E120" s="1">
        <v>53592</v>
      </c>
      <c r="F120" s="3" t="s">
        <v>159</v>
      </c>
      <c r="G120" s="4">
        <v>0.05</v>
      </c>
      <c r="H120" s="1">
        <v>53592</v>
      </c>
      <c r="I120" s="3" t="s">
        <v>159</v>
      </c>
      <c r="J120" s="4">
        <v>0.05</v>
      </c>
      <c r="K120" s="4" t="s">
        <v>175</v>
      </c>
      <c r="L120" s="16">
        <v>12800</v>
      </c>
    </row>
    <row r="121" spans="1:12" x14ac:dyDescent="0.3">
      <c r="A121" s="13">
        <v>120</v>
      </c>
      <c r="B121" s="13">
        <v>120</v>
      </c>
      <c r="C121" s="1">
        <v>1694</v>
      </c>
      <c r="D121" s="1">
        <f t="shared" si="1"/>
        <v>725950</v>
      </c>
      <c r="E121" s="1">
        <v>54492</v>
      </c>
      <c r="F121" s="1" t="s">
        <v>160</v>
      </c>
      <c r="G121" s="4">
        <v>0.05</v>
      </c>
      <c r="H121" s="1">
        <v>54492</v>
      </c>
      <c r="I121" s="1" t="s">
        <v>160</v>
      </c>
      <c r="J121" s="4">
        <v>0.05</v>
      </c>
      <c r="K121" s="4" t="s">
        <v>175</v>
      </c>
      <c r="L121" s="16">
        <v>26000</v>
      </c>
    </row>
    <row r="122" spans="1:12" x14ac:dyDescent="0.3">
      <c r="A122" s="12">
        <v>121</v>
      </c>
      <c r="B122" s="12">
        <v>121</v>
      </c>
      <c r="C122" s="1">
        <v>1708</v>
      </c>
      <c r="D122" s="1">
        <f t="shared" si="1"/>
        <v>738050</v>
      </c>
      <c r="E122" s="1">
        <v>55400</v>
      </c>
      <c r="F122" s="1" t="s">
        <v>160</v>
      </c>
      <c r="G122" s="4">
        <v>0.05</v>
      </c>
      <c r="H122" s="1">
        <v>55400</v>
      </c>
      <c r="I122" s="1" t="s">
        <v>160</v>
      </c>
      <c r="J122" s="4">
        <v>0.05</v>
      </c>
      <c r="K122" s="4" t="s">
        <v>175</v>
      </c>
      <c r="L122" s="16">
        <v>13000</v>
      </c>
    </row>
    <row r="123" spans="1:12" x14ac:dyDescent="0.3">
      <c r="A123" s="12">
        <v>122</v>
      </c>
      <c r="B123" s="12">
        <v>122</v>
      </c>
      <c r="C123" s="1">
        <v>1722</v>
      </c>
      <c r="D123" s="1">
        <f t="shared" si="1"/>
        <v>750250</v>
      </c>
      <c r="E123" s="1">
        <v>56315</v>
      </c>
      <c r="F123" s="1" t="s">
        <v>160</v>
      </c>
      <c r="G123" s="4">
        <v>0.05</v>
      </c>
      <c r="H123" s="1">
        <v>56315</v>
      </c>
      <c r="I123" s="1" t="s">
        <v>160</v>
      </c>
      <c r="J123" s="4">
        <v>0.05</v>
      </c>
      <c r="K123" s="4" t="s">
        <v>175</v>
      </c>
      <c r="L123" s="16">
        <v>13100</v>
      </c>
    </row>
    <row r="124" spans="1:12" x14ac:dyDescent="0.3">
      <c r="A124" s="12">
        <v>123</v>
      </c>
      <c r="B124" s="12">
        <v>123</v>
      </c>
      <c r="C124" s="1">
        <v>1736</v>
      </c>
      <c r="D124" s="1">
        <f t="shared" si="1"/>
        <v>762550</v>
      </c>
      <c r="E124" s="1">
        <v>57237</v>
      </c>
      <c r="F124" s="1" t="s">
        <v>160</v>
      </c>
      <c r="G124" s="4">
        <v>0.05</v>
      </c>
      <c r="H124" s="1">
        <v>57237</v>
      </c>
      <c r="I124" s="1" t="s">
        <v>160</v>
      </c>
      <c r="J124" s="4">
        <v>0.05</v>
      </c>
      <c r="K124" s="4" t="s">
        <v>175</v>
      </c>
      <c r="L124" s="16">
        <v>13200</v>
      </c>
    </row>
    <row r="125" spans="1:12" x14ac:dyDescent="0.3">
      <c r="A125" s="12">
        <v>124</v>
      </c>
      <c r="B125" s="12">
        <v>124</v>
      </c>
      <c r="C125" s="1">
        <v>1750</v>
      </c>
      <c r="D125" s="1">
        <f t="shared" si="1"/>
        <v>774950</v>
      </c>
      <c r="E125" s="1">
        <v>58167</v>
      </c>
      <c r="F125" s="1" t="s">
        <v>160</v>
      </c>
      <c r="G125" s="4">
        <v>0.05</v>
      </c>
      <c r="H125" s="1">
        <v>58167</v>
      </c>
      <c r="I125" s="1" t="s">
        <v>160</v>
      </c>
      <c r="J125" s="4">
        <v>0.05</v>
      </c>
      <c r="K125" s="4" t="s">
        <v>175</v>
      </c>
      <c r="L125" s="16">
        <v>13300</v>
      </c>
    </row>
    <row r="126" spans="1:12" x14ac:dyDescent="0.3">
      <c r="A126" s="12">
        <v>125</v>
      </c>
      <c r="B126" s="12">
        <v>125</v>
      </c>
      <c r="C126" s="1">
        <v>1764</v>
      </c>
      <c r="D126" s="1">
        <f t="shared" si="1"/>
        <v>787450</v>
      </c>
      <c r="E126" s="1">
        <v>59105</v>
      </c>
      <c r="F126" s="1" t="s">
        <v>160</v>
      </c>
      <c r="G126" s="4">
        <v>0.05</v>
      </c>
      <c r="H126" s="1">
        <v>59105</v>
      </c>
      <c r="I126" s="1" t="s">
        <v>160</v>
      </c>
      <c r="J126" s="4">
        <v>0.05</v>
      </c>
      <c r="K126" s="4" t="s">
        <v>175</v>
      </c>
      <c r="L126" s="16">
        <v>13400</v>
      </c>
    </row>
    <row r="127" spans="1:12" x14ac:dyDescent="0.3">
      <c r="A127" s="12">
        <v>126</v>
      </c>
      <c r="B127" s="12">
        <v>126</v>
      </c>
      <c r="C127" s="1">
        <v>1778</v>
      </c>
      <c r="D127" s="1">
        <f t="shared" si="1"/>
        <v>800050</v>
      </c>
      <c r="E127" s="1">
        <v>60050</v>
      </c>
      <c r="F127" s="1" t="s">
        <v>160</v>
      </c>
      <c r="G127" s="4">
        <v>0.05</v>
      </c>
      <c r="H127" s="1">
        <v>60050</v>
      </c>
      <c r="I127" s="1" t="s">
        <v>160</v>
      </c>
      <c r="J127" s="4">
        <v>0.05</v>
      </c>
      <c r="K127" s="4" t="s">
        <v>175</v>
      </c>
      <c r="L127" s="16">
        <v>13500</v>
      </c>
    </row>
    <row r="128" spans="1:12" x14ac:dyDescent="0.3">
      <c r="A128" s="12">
        <v>127</v>
      </c>
      <c r="B128" s="12">
        <v>127</v>
      </c>
      <c r="C128" s="1">
        <v>1792</v>
      </c>
      <c r="D128" s="1">
        <f t="shared" si="1"/>
        <v>812750</v>
      </c>
      <c r="E128" s="1">
        <v>61002</v>
      </c>
      <c r="F128" s="1" t="s">
        <v>160</v>
      </c>
      <c r="G128" s="4">
        <v>0.05</v>
      </c>
      <c r="H128" s="1">
        <v>61002</v>
      </c>
      <c r="I128" s="1" t="s">
        <v>160</v>
      </c>
      <c r="J128" s="4">
        <v>0.05</v>
      </c>
      <c r="K128" s="4" t="s">
        <v>175</v>
      </c>
      <c r="L128" s="16">
        <v>13600</v>
      </c>
    </row>
    <row r="129" spans="1:12" x14ac:dyDescent="0.3">
      <c r="A129" s="12">
        <v>128</v>
      </c>
      <c r="B129" s="12">
        <v>128</v>
      </c>
      <c r="C129" s="1">
        <v>1806</v>
      </c>
      <c r="D129" s="1">
        <f t="shared" si="1"/>
        <v>825550</v>
      </c>
      <c r="E129" s="1">
        <v>61962</v>
      </c>
      <c r="F129" s="1" t="s">
        <v>160</v>
      </c>
      <c r="G129" s="4">
        <v>0.05</v>
      </c>
      <c r="H129" s="1">
        <v>61962</v>
      </c>
      <c r="I129" s="1" t="s">
        <v>160</v>
      </c>
      <c r="J129" s="4">
        <v>0.05</v>
      </c>
      <c r="K129" s="4" t="s">
        <v>175</v>
      </c>
      <c r="L129" s="16">
        <v>13700</v>
      </c>
    </row>
    <row r="130" spans="1:12" x14ac:dyDescent="0.3">
      <c r="A130" s="12">
        <v>129</v>
      </c>
      <c r="B130" s="12">
        <v>129</v>
      </c>
      <c r="C130" s="1">
        <v>1820</v>
      </c>
      <c r="D130" s="1">
        <f t="shared" si="1"/>
        <v>838450</v>
      </c>
      <c r="E130" s="1">
        <v>62930</v>
      </c>
      <c r="F130" s="1" t="s">
        <v>160</v>
      </c>
      <c r="G130" s="4">
        <v>0.05</v>
      </c>
      <c r="H130" s="1">
        <v>62930</v>
      </c>
      <c r="I130" s="1" t="s">
        <v>160</v>
      </c>
      <c r="J130" s="4">
        <v>0.05</v>
      </c>
      <c r="K130" s="4" t="s">
        <v>175</v>
      </c>
      <c r="L130" s="16">
        <v>13800</v>
      </c>
    </row>
    <row r="131" spans="1:12" x14ac:dyDescent="0.3">
      <c r="A131" s="12">
        <v>130</v>
      </c>
      <c r="B131" s="12">
        <v>130</v>
      </c>
      <c r="C131" s="1">
        <v>1834</v>
      </c>
      <c r="D131" s="1">
        <f t="shared" si="1"/>
        <v>851450</v>
      </c>
      <c r="E131" s="1">
        <v>63905</v>
      </c>
      <c r="F131" s="1" t="s">
        <v>161</v>
      </c>
      <c r="G131" s="4">
        <v>0.05</v>
      </c>
      <c r="H131" s="1">
        <v>63905</v>
      </c>
      <c r="I131" s="1" t="s">
        <v>161</v>
      </c>
      <c r="J131" s="4">
        <v>0.05</v>
      </c>
      <c r="K131" s="4" t="s">
        <v>175</v>
      </c>
      <c r="L131" s="16">
        <v>13900</v>
      </c>
    </row>
    <row r="132" spans="1:12" x14ac:dyDescent="0.3">
      <c r="A132" s="12">
        <v>131</v>
      </c>
      <c r="B132" s="12">
        <v>131</v>
      </c>
      <c r="C132" s="1">
        <v>1848</v>
      </c>
      <c r="D132" s="1">
        <f t="shared" ref="D132:D195" si="2">$D$2*A132+(D131+(A132*$D$2))</f>
        <v>864550</v>
      </c>
      <c r="E132" s="1">
        <v>64887</v>
      </c>
      <c r="F132" s="1" t="s">
        <v>161</v>
      </c>
      <c r="G132" s="4">
        <v>0.05</v>
      </c>
      <c r="H132" s="1">
        <v>64887</v>
      </c>
      <c r="I132" s="1" t="s">
        <v>161</v>
      </c>
      <c r="J132" s="4">
        <v>0.05</v>
      </c>
      <c r="K132" s="4" t="s">
        <v>175</v>
      </c>
      <c r="L132" s="16">
        <v>14000</v>
      </c>
    </row>
    <row r="133" spans="1:12" x14ac:dyDescent="0.3">
      <c r="A133" s="12">
        <v>132</v>
      </c>
      <c r="B133" s="12">
        <v>132</v>
      </c>
      <c r="C133" s="1">
        <v>1862</v>
      </c>
      <c r="D133" s="1">
        <f t="shared" si="2"/>
        <v>877750</v>
      </c>
      <c r="E133" s="1">
        <v>65877</v>
      </c>
      <c r="F133" s="1" t="s">
        <v>161</v>
      </c>
      <c r="G133" s="4">
        <v>0.05</v>
      </c>
      <c r="H133" s="1">
        <v>65877</v>
      </c>
      <c r="I133" s="1" t="s">
        <v>161</v>
      </c>
      <c r="J133" s="4">
        <v>0.05</v>
      </c>
      <c r="K133" s="4" t="s">
        <v>175</v>
      </c>
      <c r="L133" s="16">
        <v>14100</v>
      </c>
    </row>
    <row r="134" spans="1:12" x14ac:dyDescent="0.3">
      <c r="A134" s="12">
        <v>133</v>
      </c>
      <c r="B134" s="12">
        <v>133</v>
      </c>
      <c r="C134" s="1">
        <v>1876</v>
      </c>
      <c r="D134" s="1">
        <f t="shared" si="2"/>
        <v>891050</v>
      </c>
      <c r="E134" s="1">
        <v>66875</v>
      </c>
      <c r="F134" s="1" t="s">
        <v>161</v>
      </c>
      <c r="G134" s="4">
        <v>0.05</v>
      </c>
      <c r="H134" s="1">
        <v>66875</v>
      </c>
      <c r="I134" s="1" t="s">
        <v>161</v>
      </c>
      <c r="J134" s="4">
        <v>0.05</v>
      </c>
      <c r="K134" s="4" t="s">
        <v>175</v>
      </c>
      <c r="L134" s="16">
        <v>14200</v>
      </c>
    </row>
    <row r="135" spans="1:12" x14ac:dyDescent="0.3">
      <c r="A135" s="12">
        <v>134</v>
      </c>
      <c r="B135" s="12">
        <v>134</v>
      </c>
      <c r="C135" s="1">
        <v>1890</v>
      </c>
      <c r="D135" s="1">
        <f t="shared" si="2"/>
        <v>904450</v>
      </c>
      <c r="E135" s="1">
        <v>67880</v>
      </c>
      <c r="F135" s="1" t="s">
        <v>161</v>
      </c>
      <c r="G135" s="4">
        <v>0.05</v>
      </c>
      <c r="H135" s="1">
        <v>67880</v>
      </c>
      <c r="I135" s="1" t="s">
        <v>161</v>
      </c>
      <c r="J135" s="4">
        <v>0.05</v>
      </c>
      <c r="K135" s="4" t="s">
        <v>175</v>
      </c>
      <c r="L135" s="16">
        <v>14300</v>
      </c>
    </row>
    <row r="136" spans="1:12" x14ac:dyDescent="0.3">
      <c r="A136" s="12">
        <v>135</v>
      </c>
      <c r="B136" s="12">
        <v>135</v>
      </c>
      <c r="C136" s="1">
        <v>1904</v>
      </c>
      <c r="D136" s="1">
        <f t="shared" si="2"/>
        <v>917950</v>
      </c>
      <c r="E136" s="1">
        <v>68892</v>
      </c>
      <c r="F136" s="1" t="s">
        <v>161</v>
      </c>
      <c r="G136" s="4">
        <v>0.05</v>
      </c>
      <c r="H136" s="1">
        <v>68892</v>
      </c>
      <c r="I136" s="1" t="s">
        <v>161</v>
      </c>
      <c r="J136" s="4">
        <v>0.05</v>
      </c>
      <c r="K136" s="4" t="s">
        <v>175</v>
      </c>
      <c r="L136" s="16">
        <v>14400</v>
      </c>
    </row>
    <row r="137" spans="1:12" x14ac:dyDescent="0.3">
      <c r="A137" s="12">
        <v>136</v>
      </c>
      <c r="B137" s="12">
        <v>136</v>
      </c>
      <c r="C137" s="1">
        <v>1918</v>
      </c>
      <c r="D137" s="1">
        <f t="shared" si="2"/>
        <v>931550</v>
      </c>
      <c r="E137" s="1">
        <v>69912</v>
      </c>
      <c r="F137" s="1" t="s">
        <v>161</v>
      </c>
      <c r="G137" s="4">
        <v>0.05</v>
      </c>
      <c r="H137" s="1">
        <v>69912</v>
      </c>
      <c r="I137" s="1" t="s">
        <v>161</v>
      </c>
      <c r="J137" s="4">
        <v>0.05</v>
      </c>
      <c r="K137" s="4" t="s">
        <v>175</v>
      </c>
      <c r="L137" s="16">
        <v>14500</v>
      </c>
    </row>
    <row r="138" spans="1:12" x14ac:dyDescent="0.3">
      <c r="A138" s="12">
        <v>137</v>
      </c>
      <c r="B138" s="12">
        <v>137</v>
      </c>
      <c r="C138" s="1">
        <v>1932</v>
      </c>
      <c r="D138" s="1">
        <f t="shared" si="2"/>
        <v>945250</v>
      </c>
      <c r="E138" s="1">
        <v>70940</v>
      </c>
      <c r="F138" s="1" t="s">
        <v>161</v>
      </c>
      <c r="G138" s="4">
        <v>0.05</v>
      </c>
      <c r="H138" s="1">
        <v>70940</v>
      </c>
      <c r="I138" s="1" t="s">
        <v>161</v>
      </c>
      <c r="J138" s="4">
        <v>0.05</v>
      </c>
      <c r="K138" s="4" t="s">
        <v>175</v>
      </c>
      <c r="L138" s="16">
        <v>14600</v>
      </c>
    </row>
    <row r="139" spans="1:12" x14ac:dyDescent="0.3">
      <c r="A139" s="12">
        <v>138</v>
      </c>
      <c r="B139" s="12">
        <v>138</v>
      </c>
      <c r="C139" s="1">
        <v>1946</v>
      </c>
      <c r="D139" s="1">
        <f t="shared" si="2"/>
        <v>959050</v>
      </c>
      <c r="E139" s="1">
        <v>71975</v>
      </c>
      <c r="F139" s="1" t="s">
        <v>161</v>
      </c>
      <c r="G139" s="4">
        <v>0.05</v>
      </c>
      <c r="H139" s="1">
        <v>71975</v>
      </c>
      <c r="I139" s="1" t="s">
        <v>161</v>
      </c>
      <c r="J139" s="4">
        <v>0.05</v>
      </c>
      <c r="K139" s="4" t="s">
        <v>175</v>
      </c>
      <c r="L139" s="16">
        <v>14700</v>
      </c>
    </row>
    <row r="140" spans="1:12" x14ac:dyDescent="0.3">
      <c r="A140" s="12">
        <v>139</v>
      </c>
      <c r="B140" s="12">
        <v>139</v>
      </c>
      <c r="C140" s="1">
        <v>1960</v>
      </c>
      <c r="D140" s="1">
        <f t="shared" si="2"/>
        <v>972950</v>
      </c>
      <c r="E140" s="1">
        <v>73017</v>
      </c>
      <c r="F140" s="1" t="s">
        <v>161</v>
      </c>
      <c r="G140" s="4">
        <v>0.05</v>
      </c>
      <c r="H140" s="1">
        <v>73017</v>
      </c>
      <c r="I140" s="1" t="s">
        <v>161</v>
      </c>
      <c r="J140" s="4">
        <v>0.05</v>
      </c>
      <c r="K140" s="4" t="s">
        <v>175</v>
      </c>
      <c r="L140" s="16">
        <v>14800</v>
      </c>
    </row>
    <row r="141" spans="1:12" x14ac:dyDescent="0.3">
      <c r="A141" s="13">
        <v>140</v>
      </c>
      <c r="B141" s="13">
        <v>140</v>
      </c>
      <c r="C141" s="1">
        <v>1974</v>
      </c>
      <c r="D141" s="1">
        <f t="shared" si="2"/>
        <v>986950</v>
      </c>
      <c r="E141" s="1">
        <v>74067</v>
      </c>
      <c r="F141" s="1" t="s">
        <v>162</v>
      </c>
      <c r="G141" s="4">
        <v>0.05</v>
      </c>
      <c r="H141" s="1">
        <v>74067</v>
      </c>
      <c r="I141" s="1" t="s">
        <v>162</v>
      </c>
      <c r="J141" s="4">
        <v>0.05</v>
      </c>
      <c r="K141" s="4" t="s">
        <v>175</v>
      </c>
      <c r="L141" s="16">
        <v>30000</v>
      </c>
    </row>
    <row r="142" spans="1:12" x14ac:dyDescent="0.3">
      <c r="A142" s="12">
        <v>141</v>
      </c>
      <c r="B142" s="12">
        <v>141</v>
      </c>
      <c r="C142" s="1">
        <v>1988</v>
      </c>
      <c r="D142" s="1">
        <f t="shared" si="2"/>
        <v>1001050</v>
      </c>
      <c r="E142" s="1">
        <v>75125</v>
      </c>
      <c r="F142" s="1" t="s">
        <v>162</v>
      </c>
      <c r="G142" s="4">
        <v>0.05</v>
      </c>
      <c r="H142" s="1">
        <v>75125</v>
      </c>
      <c r="I142" s="1" t="s">
        <v>162</v>
      </c>
      <c r="J142" s="4">
        <v>0.05</v>
      </c>
      <c r="K142" s="4" t="s">
        <v>175</v>
      </c>
      <c r="L142" s="16">
        <v>15000</v>
      </c>
    </row>
    <row r="143" spans="1:12" x14ac:dyDescent="0.3">
      <c r="A143" s="12">
        <v>142</v>
      </c>
      <c r="B143" s="12">
        <v>142</v>
      </c>
      <c r="C143" s="1">
        <v>2002</v>
      </c>
      <c r="D143" s="1">
        <f t="shared" si="2"/>
        <v>1015250</v>
      </c>
      <c r="E143" s="1">
        <v>76190</v>
      </c>
      <c r="F143" s="1" t="s">
        <v>162</v>
      </c>
      <c r="G143" s="4">
        <v>0.05</v>
      </c>
      <c r="H143" s="1">
        <v>76190</v>
      </c>
      <c r="I143" s="1" t="s">
        <v>162</v>
      </c>
      <c r="J143" s="4">
        <v>0.05</v>
      </c>
      <c r="K143" s="4" t="s">
        <v>175</v>
      </c>
      <c r="L143" s="16">
        <v>15100</v>
      </c>
    </row>
    <row r="144" spans="1:12" x14ac:dyDescent="0.3">
      <c r="A144" s="12">
        <v>143</v>
      </c>
      <c r="B144" s="12">
        <v>143</v>
      </c>
      <c r="C144" s="1">
        <v>2016</v>
      </c>
      <c r="D144" s="1">
        <f t="shared" si="2"/>
        <v>1029550</v>
      </c>
      <c r="E144" s="1">
        <v>77262</v>
      </c>
      <c r="F144" s="1" t="s">
        <v>162</v>
      </c>
      <c r="G144" s="4">
        <v>0.05</v>
      </c>
      <c r="H144" s="1">
        <v>77262</v>
      </c>
      <c r="I144" s="1" t="s">
        <v>162</v>
      </c>
      <c r="J144" s="4">
        <v>0.05</v>
      </c>
      <c r="K144" s="4" t="s">
        <v>175</v>
      </c>
      <c r="L144" s="16">
        <v>15200</v>
      </c>
    </row>
    <row r="145" spans="1:12" x14ac:dyDescent="0.3">
      <c r="A145" s="12">
        <v>144</v>
      </c>
      <c r="B145" s="12">
        <v>144</v>
      </c>
      <c r="C145" s="1">
        <v>2030</v>
      </c>
      <c r="D145" s="1">
        <f t="shared" si="2"/>
        <v>1043950</v>
      </c>
      <c r="E145" s="1">
        <v>78342</v>
      </c>
      <c r="F145" s="1" t="s">
        <v>162</v>
      </c>
      <c r="G145" s="4">
        <v>0.05</v>
      </c>
      <c r="H145" s="1">
        <v>78342</v>
      </c>
      <c r="I145" s="1" t="s">
        <v>162</v>
      </c>
      <c r="J145" s="4">
        <v>0.05</v>
      </c>
      <c r="K145" s="4" t="s">
        <v>175</v>
      </c>
      <c r="L145" s="16">
        <v>15300</v>
      </c>
    </row>
    <row r="146" spans="1:12" x14ac:dyDescent="0.3">
      <c r="A146" s="12">
        <v>145</v>
      </c>
      <c r="B146" s="12">
        <v>145</v>
      </c>
      <c r="C146" s="1">
        <v>2044</v>
      </c>
      <c r="D146" s="1">
        <f t="shared" si="2"/>
        <v>1058450</v>
      </c>
      <c r="E146" s="1">
        <v>79430</v>
      </c>
      <c r="F146" s="1" t="s">
        <v>162</v>
      </c>
      <c r="G146" s="4">
        <v>0.05</v>
      </c>
      <c r="H146" s="1">
        <v>79430</v>
      </c>
      <c r="I146" s="1" t="s">
        <v>162</v>
      </c>
      <c r="J146" s="4">
        <v>0.05</v>
      </c>
      <c r="K146" s="4" t="s">
        <v>175</v>
      </c>
      <c r="L146" s="16">
        <v>15400</v>
      </c>
    </row>
    <row r="147" spans="1:12" x14ac:dyDescent="0.3">
      <c r="A147" s="12">
        <v>146</v>
      </c>
      <c r="B147" s="12">
        <v>146</v>
      </c>
      <c r="C147" s="1">
        <v>2058</v>
      </c>
      <c r="D147" s="1">
        <f t="shared" si="2"/>
        <v>1073050</v>
      </c>
      <c r="E147" s="1">
        <v>80525</v>
      </c>
      <c r="F147" s="1" t="s">
        <v>162</v>
      </c>
      <c r="G147" s="4">
        <v>0.05</v>
      </c>
      <c r="H147" s="1">
        <v>80525</v>
      </c>
      <c r="I147" s="1" t="s">
        <v>162</v>
      </c>
      <c r="J147" s="4">
        <v>0.05</v>
      </c>
      <c r="K147" s="4" t="s">
        <v>175</v>
      </c>
      <c r="L147" s="16">
        <v>15500</v>
      </c>
    </row>
    <row r="148" spans="1:12" x14ac:dyDescent="0.3">
      <c r="A148" s="12">
        <v>147</v>
      </c>
      <c r="B148" s="12">
        <v>147</v>
      </c>
      <c r="C148" s="1">
        <v>2072</v>
      </c>
      <c r="D148" s="1">
        <f t="shared" si="2"/>
        <v>1087750</v>
      </c>
      <c r="E148" s="1">
        <v>81627</v>
      </c>
      <c r="F148" s="1" t="s">
        <v>162</v>
      </c>
      <c r="G148" s="4">
        <v>0.05</v>
      </c>
      <c r="H148" s="1">
        <v>81627</v>
      </c>
      <c r="I148" s="1" t="s">
        <v>162</v>
      </c>
      <c r="J148" s="4">
        <v>0.05</v>
      </c>
      <c r="K148" s="4" t="s">
        <v>175</v>
      </c>
      <c r="L148" s="16">
        <v>15600</v>
      </c>
    </row>
    <row r="149" spans="1:12" x14ac:dyDescent="0.3">
      <c r="A149" s="12">
        <v>148</v>
      </c>
      <c r="B149" s="12">
        <v>148</v>
      </c>
      <c r="C149" s="1">
        <v>2086</v>
      </c>
      <c r="D149" s="1">
        <f t="shared" si="2"/>
        <v>1102550</v>
      </c>
      <c r="E149" s="1">
        <v>82737</v>
      </c>
      <c r="F149" s="1" t="s">
        <v>162</v>
      </c>
      <c r="G149" s="4">
        <v>0.05</v>
      </c>
      <c r="H149" s="1">
        <v>82737</v>
      </c>
      <c r="I149" s="1" t="s">
        <v>162</v>
      </c>
      <c r="J149" s="4">
        <v>0.05</v>
      </c>
      <c r="K149" s="4" t="s">
        <v>175</v>
      </c>
      <c r="L149" s="16">
        <v>15700</v>
      </c>
    </row>
    <row r="150" spans="1:12" x14ac:dyDescent="0.3">
      <c r="A150" s="12">
        <v>149</v>
      </c>
      <c r="B150" s="12">
        <v>149</v>
      </c>
      <c r="C150" s="1">
        <v>2100</v>
      </c>
      <c r="D150" s="1">
        <f t="shared" si="2"/>
        <v>1117450</v>
      </c>
      <c r="E150" s="1">
        <v>83855</v>
      </c>
      <c r="F150" s="1" t="s">
        <v>162</v>
      </c>
      <c r="G150" s="4">
        <v>0.05</v>
      </c>
      <c r="H150" s="1">
        <v>83855</v>
      </c>
      <c r="I150" s="1" t="s">
        <v>162</v>
      </c>
      <c r="J150" s="4">
        <v>0.05</v>
      </c>
      <c r="K150" s="4" t="s">
        <v>175</v>
      </c>
      <c r="L150" s="16">
        <v>15800</v>
      </c>
    </row>
    <row r="151" spans="1:12" x14ac:dyDescent="0.3">
      <c r="A151" s="12">
        <v>150</v>
      </c>
      <c r="B151" s="12">
        <v>150</v>
      </c>
      <c r="C151" s="1">
        <v>2114</v>
      </c>
      <c r="D151" s="1">
        <f t="shared" si="2"/>
        <v>1132450</v>
      </c>
      <c r="E151" s="1">
        <v>84980</v>
      </c>
      <c r="F151" s="3" t="s">
        <v>163</v>
      </c>
      <c r="G151" s="4">
        <v>0.05</v>
      </c>
      <c r="H151" s="1">
        <v>84980</v>
      </c>
      <c r="I151" s="3" t="s">
        <v>163</v>
      </c>
      <c r="J151" s="4">
        <v>0.05</v>
      </c>
      <c r="K151" s="4" t="s">
        <v>175</v>
      </c>
      <c r="L151" s="16">
        <v>15900</v>
      </c>
    </row>
    <row r="152" spans="1:12" x14ac:dyDescent="0.3">
      <c r="A152" s="12">
        <v>151</v>
      </c>
      <c r="B152" s="12">
        <v>151</v>
      </c>
      <c r="C152" s="1">
        <v>2128</v>
      </c>
      <c r="D152" s="1">
        <f t="shared" si="2"/>
        <v>1147550</v>
      </c>
      <c r="E152" s="1">
        <v>86112</v>
      </c>
      <c r="F152" s="3" t="s">
        <v>163</v>
      </c>
      <c r="G152" s="4">
        <v>0.05</v>
      </c>
      <c r="H152" s="1">
        <v>86112</v>
      </c>
      <c r="I152" s="3" t="s">
        <v>163</v>
      </c>
      <c r="J152" s="4">
        <v>0.05</v>
      </c>
      <c r="K152" s="4" t="s">
        <v>175</v>
      </c>
      <c r="L152" s="16">
        <v>16000</v>
      </c>
    </row>
    <row r="153" spans="1:12" x14ac:dyDescent="0.3">
      <c r="A153" s="12">
        <v>152</v>
      </c>
      <c r="B153" s="12">
        <v>152</v>
      </c>
      <c r="C153" s="1">
        <v>2142</v>
      </c>
      <c r="D153" s="1">
        <f t="shared" si="2"/>
        <v>1162750</v>
      </c>
      <c r="E153" s="1">
        <v>87252</v>
      </c>
      <c r="F153" s="3" t="s">
        <v>163</v>
      </c>
      <c r="G153" s="4">
        <v>0.05</v>
      </c>
      <c r="H153" s="1">
        <v>87252</v>
      </c>
      <c r="I153" s="3" t="s">
        <v>163</v>
      </c>
      <c r="J153" s="4">
        <v>0.05</v>
      </c>
      <c r="K153" s="4" t="s">
        <v>175</v>
      </c>
      <c r="L153" s="16">
        <v>16100</v>
      </c>
    </row>
    <row r="154" spans="1:12" x14ac:dyDescent="0.3">
      <c r="A154" s="12">
        <v>153</v>
      </c>
      <c r="B154" s="12">
        <v>153</v>
      </c>
      <c r="C154" s="1">
        <v>2156</v>
      </c>
      <c r="D154" s="1">
        <f t="shared" si="2"/>
        <v>1178050</v>
      </c>
      <c r="E154" s="1">
        <v>88400</v>
      </c>
      <c r="F154" s="3" t="s">
        <v>163</v>
      </c>
      <c r="G154" s="4">
        <v>0.05</v>
      </c>
      <c r="H154" s="1">
        <v>88400</v>
      </c>
      <c r="I154" s="3" t="s">
        <v>163</v>
      </c>
      <c r="J154" s="4">
        <v>0.05</v>
      </c>
      <c r="K154" s="4" t="s">
        <v>175</v>
      </c>
      <c r="L154" s="16">
        <v>16200</v>
      </c>
    </row>
    <row r="155" spans="1:12" x14ac:dyDescent="0.3">
      <c r="A155" s="12">
        <v>154</v>
      </c>
      <c r="B155" s="12">
        <v>154</v>
      </c>
      <c r="C155" s="1">
        <v>2170</v>
      </c>
      <c r="D155" s="1">
        <f t="shared" si="2"/>
        <v>1193450</v>
      </c>
      <c r="E155" s="1">
        <v>89555</v>
      </c>
      <c r="F155" s="3" t="s">
        <v>163</v>
      </c>
      <c r="G155" s="4">
        <v>0.05</v>
      </c>
      <c r="H155" s="1">
        <v>89555</v>
      </c>
      <c r="I155" s="3" t="s">
        <v>163</v>
      </c>
      <c r="J155" s="4">
        <v>0.05</v>
      </c>
      <c r="K155" s="4" t="s">
        <v>175</v>
      </c>
      <c r="L155" s="16">
        <v>16300</v>
      </c>
    </row>
    <row r="156" spans="1:12" x14ac:dyDescent="0.3">
      <c r="A156" s="12">
        <v>155</v>
      </c>
      <c r="B156" s="12">
        <v>155</v>
      </c>
      <c r="C156" s="1">
        <v>2184</v>
      </c>
      <c r="D156" s="1">
        <f t="shared" si="2"/>
        <v>1208950</v>
      </c>
      <c r="E156" s="1">
        <v>90717</v>
      </c>
      <c r="F156" s="3" t="s">
        <v>163</v>
      </c>
      <c r="G156" s="4">
        <v>0.05</v>
      </c>
      <c r="H156" s="1">
        <v>90717</v>
      </c>
      <c r="I156" s="3" t="s">
        <v>163</v>
      </c>
      <c r="J156" s="4">
        <v>0.05</v>
      </c>
      <c r="K156" s="4" t="s">
        <v>175</v>
      </c>
      <c r="L156" s="16">
        <v>16400</v>
      </c>
    </row>
    <row r="157" spans="1:12" x14ac:dyDescent="0.3">
      <c r="A157" s="12">
        <v>156</v>
      </c>
      <c r="B157" s="12">
        <v>156</v>
      </c>
      <c r="C157" s="1">
        <v>2198</v>
      </c>
      <c r="D157" s="1">
        <f t="shared" si="2"/>
        <v>1224550</v>
      </c>
      <c r="E157" s="1">
        <v>91887</v>
      </c>
      <c r="F157" s="3" t="s">
        <v>163</v>
      </c>
      <c r="G157" s="4">
        <v>0.05</v>
      </c>
      <c r="H157" s="1">
        <v>91887</v>
      </c>
      <c r="I157" s="3" t="s">
        <v>163</v>
      </c>
      <c r="J157" s="4">
        <v>0.05</v>
      </c>
      <c r="K157" s="4" t="s">
        <v>175</v>
      </c>
      <c r="L157" s="16">
        <v>16500</v>
      </c>
    </row>
    <row r="158" spans="1:12" x14ac:dyDescent="0.3">
      <c r="A158" s="12">
        <v>157</v>
      </c>
      <c r="B158" s="12">
        <v>157</v>
      </c>
      <c r="C158" s="1">
        <v>2212</v>
      </c>
      <c r="D158" s="1">
        <f t="shared" si="2"/>
        <v>1240250</v>
      </c>
      <c r="E158" s="1">
        <v>93065</v>
      </c>
      <c r="F158" s="3" t="s">
        <v>163</v>
      </c>
      <c r="G158" s="4">
        <v>0.05</v>
      </c>
      <c r="H158" s="1">
        <v>93065</v>
      </c>
      <c r="I158" s="3" t="s">
        <v>163</v>
      </c>
      <c r="J158" s="4">
        <v>0.05</v>
      </c>
      <c r="K158" s="4" t="s">
        <v>175</v>
      </c>
      <c r="L158" s="16">
        <v>16600</v>
      </c>
    </row>
    <row r="159" spans="1:12" x14ac:dyDescent="0.3">
      <c r="A159" s="12">
        <v>158</v>
      </c>
      <c r="B159" s="12">
        <v>158</v>
      </c>
      <c r="C159" s="1">
        <v>2226</v>
      </c>
      <c r="D159" s="1">
        <f t="shared" si="2"/>
        <v>1256050</v>
      </c>
      <c r="E159" s="1">
        <v>94250</v>
      </c>
      <c r="F159" s="3" t="s">
        <v>163</v>
      </c>
      <c r="G159" s="4">
        <v>0.05</v>
      </c>
      <c r="H159" s="1">
        <v>94250</v>
      </c>
      <c r="I159" s="3" t="s">
        <v>163</v>
      </c>
      <c r="J159" s="4">
        <v>0.05</v>
      </c>
      <c r="K159" s="4" t="s">
        <v>175</v>
      </c>
      <c r="L159" s="16">
        <v>16700</v>
      </c>
    </row>
    <row r="160" spans="1:12" x14ac:dyDescent="0.3">
      <c r="A160" s="12">
        <v>159</v>
      </c>
      <c r="B160" s="12">
        <v>159</v>
      </c>
      <c r="C160" s="1">
        <v>2240</v>
      </c>
      <c r="D160" s="1">
        <f t="shared" si="2"/>
        <v>1271950</v>
      </c>
      <c r="E160" s="1">
        <v>95442</v>
      </c>
      <c r="F160" s="3" t="s">
        <v>163</v>
      </c>
      <c r="G160" s="4">
        <v>0.05</v>
      </c>
      <c r="H160" s="1">
        <v>95442</v>
      </c>
      <c r="I160" s="3" t="s">
        <v>163</v>
      </c>
      <c r="J160" s="4">
        <v>0.05</v>
      </c>
      <c r="K160" s="4" t="s">
        <v>175</v>
      </c>
      <c r="L160" s="16">
        <v>16800</v>
      </c>
    </row>
    <row r="161" spans="1:12" x14ac:dyDescent="0.3">
      <c r="A161" s="13">
        <v>160</v>
      </c>
      <c r="B161" s="13">
        <v>160</v>
      </c>
      <c r="C161" s="1">
        <v>2254</v>
      </c>
      <c r="D161" s="1">
        <f t="shared" si="2"/>
        <v>1287950</v>
      </c>
      <c r="E161" s="1">
        <v>96642</v>
      </c>
      <c r="F161" s="1" t="s">
        <v>164</v>
      </c>
      <c r="G161" s="4">
        <v>0.05</v>
      </c>
      <c r="H161" s="1">
        <v>96642</v>
      </c>
      <c r="I161" s="1" t="s">
        <v>164</v>
      </c>
      <c r="J161" s="4">
        <v>0.05</v>
      </c>
      <c r="K161" s="4" t="s">
        <v>175</v>
      </c>
      <c r="L161" s="16">
        <v>34000</v>
      </c>
    </row>
    <row r="162" spans="1:12" x14ac:dyDescent="0.3">
      <c r="A162" s="12">
        <v>161</v>
      </c>
      <c r="B162" s="12">
        <v>161</v>
      </c>
      <c r="C162" s="1">
        <v>2268</v>
      </c>
      <c r="D162" s="1">
        <f t="shared" si="2"/>
        <v>1304050</v>
      </c>
      <c r="E162" s="1">
        <v>97850</v>
      </c>
      <c r="F162" s="1" t="s">
        <v>164</v>
      </c>
      <c r="G162" s="4">
        <v>0.05</v>
      </c>
      <c r="H162" s="1">
        <v>97850</v>
      </c>
      <c r="I162" s="1" t="s">
        <v>164</v>
      </c>
      <c r="J162" s="4">
        <v>0.05</v>
      </c>
      <c r="K162" s="4" t="s">
        <v>175</v>
      </c>
      <c r="L162" s="16">
        <v>17000</v>
      </c>
    </row>
    <row r="163" spans="1:12" x14ac:dyDescent="0.3">
      <c r="A163" s="12">
        <v>162</v>
      </c>
      <c r="B163" s="12">
        <v>162</v>
      </c>
      <c r="C163" s="1">
        <v>2282</v>
      </c>
      <c r="D163" s="1">
        <f t="shared" si="2"/>
        <v>1320250</v>
      </c>
      <c r="E163" s="1">
        <v>99065</v>
      </c>
      <c r="F163" s="1" t="s">
        <v>164</v>
      </c>
      <c r="G163" s="4">
        <v>0.05</v>
      </c>
      <c r="H163" s="1">
        <v>99065</v>
      </c>
      <c r="I163" s="1" t="s">
        <v>164</v>
      </c>
      <c r="J163" s="4">
        <v>0.05</v>
      </c>
      <c r="K163" s="4" t="s">
        <v>175</v>
      </c>
      <c r="L163" s="16">
        <v>17100</v>
      </c>
    </row>
    <row r="164" spans="1:12" x14ac:dyDescent="0.3">
      <c r="A164" s="12">
        <v>163</v>
      </c>
      <c r="B164" s="12">
        <v>163</v>
      </c>
      <c r="C164" s="1">
        <v>2296</v>
      </c>
      <c r="D164" s="1">
        <f t="shared" si="2"/>
        <v>1336550</v>
      </c>
      <c r="E164" s="1">
        <v>100287</v>
      </c>
      <c r="F164" s="1" t="s">
        <v>164</v>
      </c>
      <c r="G164" s="4">
        <v>0.05</v>
      </c>
      <c r="H164" s="1">
        <v>100287</v>
      </c>
      <c r="I164" s="1" t="s">
        <v>164</v>
      </c>
      <c r="J164" s="4">
        <v>0.05</v>
      </c>
      <c r="K164" s="4" t="s">
        <v>175</v>
      </c>
      <c r="L164" s="16">
        <v>17200</v>
      </c>
    </row>
    <row r="165" spans="1:12" x14ac:dyDescent="0.3">
      <c r="A165" s="12">
        <v>164</v>
      </c>
      <c r="B165" s="12">
        <v>164</v>
      </c>
      <c r="C165" s="1">
        <v>2310</v>
      </c>
      <c r="D165" s="1">
        <f t="shared" si="2"/>
        <v>1352950</v>
      </c>
      <c r="E165" s="1">
        <v>101517</v>
      </c>
      <c r="F165" s="1" t="s">
        <v>164</v>
      </c>
      <c r="G165" s="4">
        <v>0.05</v>
      </c>
      <c r="H165" s="1">
        <v>101517</v>
      </c>
      <c r="I165" s="1" t="s">
        <v>164</v>
      </c>
      <c r="J165" s="4">
        <v>0.05</v>
      </c>
      <c r="K165" s="4" t="s">
        <v>175</v>
      </c>
      <c r="L165" s="16">
        <v>17300</v>
      </c>
    </row>
    <row r="166" spans="1:12" x14ac:dyDescent="0.3">
      <c r="A166" s="12">
        <v>165</v>
      </c>
      <c r="B166" s="12">
        <v>165</v>
      </c>
      <c r="C166" s="1">
        <v>2324</v>
      </c>
      <c r="D166" s="1">
        <f t="shared" si="2"/>
        <v>1369450</v>
      </c>
      <c r="E166" s="1">
        <v>102755</v>
      </c>
      <c r="F166" s="1" t="s">
        <v>164</v>
      </c>
      <c r="G166" s="4">
        <v>0.05</v>
      </c>
      <c r="H166" s="1">
        <v>102755</v>
      </c>
      <c r="I166" s="1" t="s">
        <v>164</v>
      </c>
      <c r="J166" s="4">
        <v>0.05</v>
      </c>
      <c r="K166" s="4" t="s">
        <v>175</v>
      </c>
      <c r="L166" s="16">
        <v>17400</v>
      </c>
    </row>
    <row r="167" spans="1:12" x14ac:dyDescent="0.3">
      <c r="A167" s="12">
        <v>166</v>
      </c>
      <c r="B167" s="12">
        <v>166</v>
      </c>
      <c r="C167" s="1">
        <v>2338</v>
      </c>
      <c r="D167" s="1">
        <f t="shared" si="2"/>
        <v>1386050</v>
      </c>
      <c r="E167" s="1">
        <v>104000</v>
      </c>
      <c r="F167" s="1" t="s">
        <v>164</v>
      </c>
      <c r="G167" s="4">
        <v>0.05</v>
      </c>
      <c r="H167" s="1">
        <v>104000</v>
      </c>
      <c r="I167" s="1" t="s">
        <v>164</v>
      </c>
      <c r="J167" s="4">
        <v>0.05</v>
      </c>
      <c r="K167" s="4" t="s">
        <v>175</v>
      </c>
      <c r="L167" s="16">
        <v>17500</v>
      </c>
    </row>
    <row r="168" spans="1:12" x14ac:dyDescent="0.3">
      <c r="A168" s="12">
        <v>167</v>
      </c>
      <c r="B168" s="12">
        <v>167</v>
      </c>
      <c r="C168" s="1">
        <v>2352</v>
      </c>
      <c r="D168" s="1">
        <f t="shared" si="2"/>
        <v>1402750</v>
      </c>
      <c r="E168" s="1">
        <v>105252</v>
      </c>
      <c r="F168" s="1" t="s">
        <v>164</v>
      </c>
      <c r="G168" s="4">
        <v>0.05</v>
      </c>
      <c r="H168" s="1">
        <v>105252</v>
      </c>
      <c r="I168" s="1" t="s">
        <v>164</v>
      </c>
      <c r="J168" s="4">
        <v>0.05</v>
      </c>
      <c r="K168" s="4" t="s">
        <v>175</v>
      </c>
      <c r="L168" s="16">
        <v>17600</v>
      </c>
    </row>
    <row r="169" spans="1:12" x14ac:dyDescent="0.3">
      <c r="A169" s="12">
        <v>168</v>
      </c>
      <c r="B169" s="12">
        <v>168</v>
      </c>
      <c r="C169" s="1">
        <v>2366</v>
      </c>
      <c r="D169" s="1">
        <f t="shared" si="2"/>
        <v>1419550</v>
      </c>
      <c r="E169" s="1">
        <v>106512</v>
      </c>
      <c r="F169" s="1" t="s">
        <v>164</v>
      </c>
      <c r="G169" s="4">
        <v>0.05</v>
      </c>
      <c r="H169" s="1">
        <v>106512</v>
      </c>
      <c r="I169" s="1" t="s">
        <v>164</v>
      </c>
      <c r="J169" s="4">
        <v>0.05</v>
      </c>
      <c r="K169" s="4" t="s">
        <v>175</v>
      </c>
      <c r="L169" s="16">
        <v>17700</v>
      </c>
    </row>
    <row r="170" spans="1:12" x14ac:dyDescent="0.3">
      <c r="A170" s="12">
        <v>169</v>
      </c>
      <c r="B170" s="12">
        <v>169</v>
      </c>
      <c r="C170" s="1">
        <v>2380</v>
      </c>
      <c r="D170" s="1">
        <f t="shared" si="2"/>
        <v>1436450</v>
      </c>
      <c r="E170" s="1">
        <v>107780</v>
      </c>
      <c r="F170" s="1" t="s">
        <v>164</v>
      </c>
      <c r="G170" s="4">
        <v>0.05</v>
      </c>
      <c r="H170" s="1">
        <v>107780</v>
      </c>
      <c r="I170" s="1" t="s">
        <v>164</v>
      </c>
      <c r="J170" s="4">
        <v>0.05</v>
      </c>
      <c r="K170" s="4" t="s">
        <v>175</v>
      </c>
      <c r="L170" s="16">
        <v>17800</v>
      </c>
    </row>
    <row r="171" spans="1:12" x14ac:dyDescent="0.3">
      <c r="A171" s="12">
        <v>170</v>
      </c>
      <c r="B171" s="12">
        <v>170</v>
      </c>
      <c r="C171" s="1">
        <v>2394</v>
      </c>
      <c r="D171" s="1">
        <f t="shared" si="2"/>
        <v>1453450</v>
      </c>
      <c r="E171" s="1">
        <v>109055</v>
      </c>
      <c r="F171" s="1" t="s">
        <v>165</v>
      </c>
      <c r="G171" s="4">
        <v>0.05</v>
      </c>
      <c r="H171" s="1">
        <v>109055</v>
      </c>
      <c r="I171" s="1" t="s">
        <v>165</v>
      </c>
      <c r="J171" s="4">
        <v>0.05</v>
      </c>
      <c r="K171" s="4" t="s">
        <v>175</v>
      </c>
      <c r="L171" s="16">
        <v>17900</v>
      </c>
    </row>
    <row r="172" spans="1:12" x14ac:dyDescent="0.3">
      <c r="A172" s="12">
        <v>171</v>
      </c>
      <c r="B172" s="12">
        <v>171</v>
      </c>
      <c r="C172" s="1">
        <v>2408</v>
      </c>
      <c r="D172" s="1">
        <f t="shared" si="2"/>
        <v>1470550</v>
      </c>
      <c r="E172" s="1">
        <v>110337</v>
      </c>
      <c r="F172" s="1" t="s">
        <v>165</v>
      </c>
      <c r="G172" s="4">
        <v>0.05</v>
      </c>
      <c r="H172" s="1">
        <v>110337</v>
      </c>
      <c r="I172" s="1" t="s">
        <v>165</v>
      </c>
      <c r="J172" s="4">
        <v>0.05</v>
      </c>
      <c r="K172" s="4" t="s">
        <v>175</v>
      </c>
      <c r="L172" s="16">
        <v>18000</v>
      </c>
    </row>
    <row r="173" spans="1:12" x14ac:dyDescent="0.3">
      <c r="A173" s="12">
        <v>172</v>
      </c>
      <c r="B173" s="12">
        <v>172</v>
      </c>
      <c r="C173" s="1">
        <v>2422</v>
      </c>
      <c r="D173" s="1">
        <f t="shared" si="2"/>
        <v>1487750</v>
      </c>
      <c r="E173" s="1">
        <v>111627</v>
      </c>
      <c r="F173" s="1" t="s">
        <v>165</v>
      </c>
      <c r="G173" s="4">
        <v>0.05</v>
      </c>
      <c r="H173" s="1">
        <v>111627</v>
      </c>
      <c r="I173" s="1" t="s">
        <v>165</v>
      </c>
      <c r="J173" s="4">
        <v>0.05</v>
      </c>
      <c r="K173" s="4" t="s">
        <v>175</v>
      </c>
      <c r="L173" s="16">
        <v>18100</v>
      </c>
    </row>
    <row r="174" spans="1:12" x14ac:dyDescent="0.3">
      <c r="A174" s="12">
        <v>173</v>
      </c>
      <c r="B174" s="12">
        <v>173</v>
      </c>
      <c r="C174" s="1">
        <v>2436</v>
      </c>
      <c r="D174" s="1">
        <f t="shared" si="2"/>
        <v>1505050</v>
      </c>
      <c r="E174" s="1">
        <v>112925</v>
      </c>
      <c r="F174" s="1" t="s">
        <v>165</v>
      </c>
      <c r="G174" s="4">
        <v>0.05</v>
      </c>
      <c r="H174" s="1">
        <v>112925</v>
      </c>
      <c r="I174" s="1" t="s">
        <v>165</v>
      </c>
      <c r="J174" s="4">
        <v>0.05</v>
      </c>
      <c r="K174" s="4" t="s">
        <v>175</v>
      </c>
      <c r="L174" s="16">
        <v>18200</v>
      </c>
    </row>
    <row r="175" spans="1:12" x14ac:dyDescent="0.3">
      <c r="A175" s="12">
        <v>174</v>
      </c>
      <c r="B175" s="12">
        <v>174</v>
      </c>
      <c r="C175" s="1">
        <v>2450</v>
      </c>
      <c r="D175" s="1">
        <f t="shared" si="2"/>
        <v>1522450</v>
      </c>
      <c r="E175" s="1">
        <v>114230</v>
      </c>
      <c r="F175" s="1" t="s">
        <v>165</v>
      </c>
      <c r="G175" s="4">
        <v>0.05</v>
      </c>
      <c r="H175" s="1">
        <v>114230</v>
      </c>
      <c r="I175" s="1" t="s">
        <v>165</v>
      </c>
      <c r="J175" s="4">
        <v>0.05</v>
      </c>
      <c r="K175" s="4" t="s">
        <v>175</v>
      </c>
      <c r="L175" s="16">
        <v>18300</v>
      </c>
    </row>
    <row r="176" spans="1:12" x14ac:dyDescent="0.3">
      <c r="A176" s="12">
        <v>175</v>
      </c>
      <c r="B176" s="12">
        <v>175</v>
      </c>
      <c r="C176" s="1">
        <v>2464</v>
      </c>
      <c r="D176" s="1">
        <f t="shared" si="2"/>
        <v>1539950</v>
      </c>
      <c r="E176" s="1">
        <v>115542</v>
      </c>
      <c r="F176" s="1" t="s">
        <v>165</v>
      </c>
      <c r="G176" s="4">
        <v>0.05</v>
      </c>
      <c r="H176" s="1">
        <v>115542</v>
      </c>
      <c r="I176" s="1" t="s">
        <v>165</v>
      </c>
      <c r="J176" s="4">
        <v>0.05</v>
      </c>
      <c r="K176" s="4" t="s">
        <v>175</v>
      </c>
      <c r="L176" s="16">
        <v>18400</v>
      </c>
    </row>
    <row r="177" spans="1:12" x14ac:dyDescent="0.3">
      <c r="A177" s="12">
        <v>176</v>
      </c>
      <c r="B177" s="12">
        <v>176</v>
      </c>
      <c r="C177" s="1">
        <v>2478</v>
      </c>
      <c r="D177" s="1">
        <f t="shared" si="2"/>
        <v>1557550</v>
      </c>
      <c r="E177" s="1">
        <v>116862</v>
      </c>
      <c r="F177" s="1" t="s">
        <v>165</v>
      </c>
      <c r="G177" s="4">
        <v>0.05</v>
      </c>
      <c r="H177" s="1">
        <v>116862</v>
      </c>
      <c r="I177" s="1" t="s">
        <v>165</v>
      </c>
      <c r="J177" s="4">
        <v>0.05</v>
      </c>
      <c r="K177" s="4" t="s">
        <v>175</v>
      </c>
      <c r="L177" s="16">
        <v>18500</v>
      </c>
    </row>
    <row r="178" spans="1:12" x14ac:dyDescent="0.3">
      <c r="A178" s="12">
        <v>177</v>
      </c>
      <c r="B178" s="12">
        <v>177</v>
      </c>
      <c r="C178" s="1">
        <v>2492</v>
      </c>
      <c r="D178" s="1">
        <f t="shared" si="2"/>
        <v>1575250</v>
      </c>
      <c r="E178" s="1">
        <v>118190</v>
      </c>
      <c r="F178" s="1" t="s">
        <v>165</v>
      </c>
      <c r="G178" s="4">
        <v>0.05</v>
      </c>
      <c r="H178" s="1">
        <v>118190</v>
      </c>
      <c r="I178" s="1" t="s">
        <v>165</v>
      </c>
      <c r="J178" s="4">
        <v>0.05</v>
      </c>
      <c r="K178" s="4" t="s">
        <v>175</v>
      </c>
      <c r="L178" s="16">
        <v>18600</v>
      </c>
    </row>
    <row r="179" spans="1:12" x14ac:dyDescent="0.3">
      <c r="A179" s="12">
        <v>178</v>
      </c>
      <c r="B179" s="12">
        <v>178</v>
      </c>
      <c r="C179" s="1">
        <v>2506</v>
      </c>
      <c r="D179" s="1">
        <f t="shared" si="2"/>
        <v>1593050</v>
      </c>
      <c r="E179" s="1">
        <v>119525</v>
      </c>
      <c r="F179" s="1" t="s">
        <v>165</v>
      </c>
      <c r="G179" s="4">
        <v>0.05</v>
      </c>
      <c r="H179" s="1">
        <v>119525</v>
      </c>
      <c r="I179" s="1" t="s">
        <v>165</v>
      </c>
      <c r="J179" s="4">
        <v>0.05</v>
      </c>
      <c r="K179" s="4" t="s">
        <v>175</v>
      </c>
      <c r="L179" s="16">
        <v>18700</v>
      </c>
    </row>
    <row r="180" spans="1:12" x14ac:dyDescent="0.3">
      <c r="A180" s="12">
        <v>179</v>
      </c>
      <c r="B180" s="12">
        <v>179</v>
      </c>
      <c r="C180" s="1">
        <v>2520</v>
      </c>
      <c r="D180" s="1">
        <f t="shared" si="2"/>
        <v>1610950</v>
      </c>
      <c r="E180" s="1">
        <v>120867</v>
      </c>
      <c r="F180" s="1" t="s">
        <v>165</v>
      </c>
      <c r="G180" s="4">
        <v>0.05</v>
      </c>
      <c r="H180" s="1">
        <v>120867</v>
      </c>
      <c r="I180" s="1" t="s">
        <v>165</v>
      </c>
      <c r="J180" s="4">
        <v>0.05</v>
      </c>
      <c r="K180" s="4" t="s">
        <v>175</v>
      </c>
      <c r="L180" s="16">
        <v>18800</v>
      </c>
    </row>
    <row r="181" spans="1:12" x14ac:dyDescent="0.3">
      <c r="A181" s="13">
        <v>180</v>
      </c>
      <c r="B181" s="13">
        <v>180</v>
      </c>
      <c r="C181" s="1">
        <v>2534</v>
      </c>
      <c r="D181" s="1">
        <f t="shared" si="2"/>
        <v>1628950</v>
      </c>
      <c r="E181" s="1">
        <v>122217</v>
      </c>
      <c r="F181" s="1" t="s">
        <v>166</v>
      </c>
      <c r="G181" s="4">
        <v>0.05</v>
      </c>
      <c r="H181" s="1">
        <v>122217</v>
      </c>
      <c r="I181" s="1" t="s">
        <v>166</v>
      </c>
      <c r="J181" s="4">
        <v>0.05</v>
      </c>
      <c r="K181" s="4" t="s">
        <v>175</v>
      </c>
      <c r="L181" s="16">
        <v>38000</v>
      </c>
    </row>
    <row r="182" spans="1:12" x14ac:dyDescent="0.3">
      <c r="A182" s="12">
        <v>181</v>
      </c>
      <c r="B182" s="12">
        <v>181</v>
      </c>
      <c r="C182" s="1">
        <v>2548</v>
      </c>
      <c r="D182" s="1">
        <f t="shared" si="2"/>
        <v>1647050</v>
      </c>
      <c r="E182" s="1">
        <v>123575</v>
      </c>
      <c r="F182" s="1" t="s">
        <v>166</v>
      </c>
      <c r="G182" s="4">
        <v>0.05</v>
      </c>
      <c r="H182" s="1">
        <v>123575</v>
      </c>
      <c r="I182" s="1" t="s">
        <v>166</v>
      </c>
      <c r="J182" s="4">
        <v>0.05</v>
      </c>
      <c r="K182" s="4" t="s">
        <v>175</v>
      </c>
      <c r="L182" s="16">
        <v>19000</v>
      </c>
    </row>
    <row r="183" spans="1:12" x14ac:dyDescent="0.3">
      <c r="A183" s="12">
        <v>182</v>
      </c>
      <c r="B183" s="12">
        <v>182</v>
      </c>
      <c r="C183" s="1">
        <v>2562</v>
      </c>
      <c r="D183" s="1">
        <f t="shared" si="2"/>
        <v>1665250</v>
      </c>
      <c r="E183" s="1">
        <v>124940</v>
      </c>
      <c r="F183" s="1" t="s">
        <v>166</v>
      </c>
      <c r="G183" s="4">
        <v>0.05</v>
      </c>
      <c r="H183" s="1">
        <v>124940</v>
      </c>
      <c r="I183" s="1" t="s">
        <v>166</v>
      </c>
      <c r="J183" s="4">
        <v>0.05</v>
      </c>
      <c r="K183" s="4" t="s">
        <v>175</v>
      </c>
      <c r="L183" s="16">
        <v>19100</v>
      </c>
    </row>
    <row r="184" spans="1:12" x14ac:dyDescent="0.3">
      <c r="A184" s="12">
        <v>183</v>
      </c>
      <c r="B184" s="12">
        <v>183</v>
      </c>
      <c r="C184" s="1">
        <v>2576</v>
      </c>
      <c r="D184" s="1">
        <f t="shared" si="2"/>
        <v>1683550</v>
      </c>
      <c r="E184" s="1">
        <v>126312</v>
      </c>
      <c r="F184" s="1" t="s">
        <v>166</v>
      </c>
      <c r="G184" s="4">
        <v>0.05</v>
      </c>
      <c r="H184" s="1">
        <v>126312</v>
      </c>
      <c r="I184" s="1" t="s">
        <v>166</v>
      </c>
      <c r="J184" s="4">
        <v>0.05</v>
      </c>
      <c r="K184" s="4" t="s">
        <v>175</v>
      </c>
      <c r="L184" s="16">
        <v>19200</v>
      </c>
    </row>
    <row r="185" spans="1:12" x14ac:dyDescent="0.3">
      <c r="A185" s="12">
        <v>184</v>
      </c>
      <c r="B185" s="12">
        <v>184</v>
      </c>
      <c r="C185" s="1">
        <v>2590</v>
      </c>
      <c r="D185" s="1">
        <f t="shared" si="2"/>
        <v>1701950</v>
      </c>
      <c r="E185" s="1">
        <v>127692</v>
      </c>
      <c r="F185" s="1" t="s">
        <v>166</v>
      </c>
      <c r="G185" s="4">
        <v>0.05</v>
      </c>
      <c r="H185" s="1">
        <v>127692</v>
      </c>
      <c r="I185" s="1" t="s">
        <v>166</v>
      </c>
      <c r="J185" s="4">
        <v>0.05</v>
      </c>
      <c r="K185" s="4" t="s">
        <v>175</v>
      </c>
      <c r="L185" s="16">
        <v>19300</v>
      </c>
    </row>
    <row r="186" spans="1:12" x14ac:dyDescent="0.3">
      <c r="A186" s="12">
        <v>185</v>
      </c>
      <c r="B186" s="12">
        <v>185</v>
      </c>
      <c r="C186" s="1">
        <v>2604</v>
      </c>
      <c r="D186" s="1">
        <f t="shared" si="2"/>
        <v>1720450</v>
      </c>
      <c r="E186" s="1">
        <v>129080</v>
      </c>
      <c r="F186" s="1" t="s">
        <v>166</v>
      </c>
      <c r="G186" s="4">
        <v>0.05</v>
      </c>
      <c r="H186" s="1">
        <v>129080</v>
      </c>
      <c r="I186" s="1" t="s">
        <v>166</v>
      </c>
      <c r="J186" s="4">
        <v>0.05</v>
      </c>
      <c r="K186" s="4" t="s">
        <v>175</v>
      </c>
      <c r="L186" s="16">
        <v>19400</v>
      </c>
    </row>
    <row r="187" spans="1:12" x14ac:dyDescent="0.3">
      <c r="A187" s="12">
        <v>186</v>
      </c>
      <c r="B187" s="12">
        <v>186</v>
      </c>
      <c r="C187" s="1">
        <v>2618</v>
      </c>
      <c r="D187" s="1">
        <f t="shared" si="2"/>
        <v>1739050</v>
      </c>
      <c r="E187" s="1">
        <v>130475</v>
      </c>
      <c r="F187" s="1" t="s">
        <v>166</v>
      </c>
      <c r="G187" s="4">
        <v>0.05</v>
      </c>
      <c r="H187" s="1">
        <v>130475</v>
      </c>
      <c r="I187" s="1" t="s">
        <v>166</v>
      </c>
      <c r="J187" s="4">
        <v>0.05</v>
      </c>
      <c r="K187" s="4" t="s">
        <v>175</v>
      </c>
      <c r="L187" s="16">
        <v>19500</v>
      </c>
    </row>
    <row r="188" spans="1:12" x14ac:dyDescent="0.3">
      <c r="A188" s="12">
        <v>187</v>
      </c>
      <c r="B188" s="12">
        <v>187</v>
      </c>
      <c r="C188" s="1">
        <v>2632</v>
      </c>
      <c r="D188" s="1">
        <f t="shared" si="2"/>
        <v>1757750</v>
      </c>
      <c r="E188" s="1">
        <v>131877</v>
      </c>
      <c r="F188" s="1" t="s">
        <v>166</v>
      </c>
      <c r="G188" s="4">
        <v>0.05</v>
      </c>
      <c r="H188" s="1">
        <v>131877</v>
      </c>
      <c r="I188" s="1" t="s">
        <v>166</v>
      </c>
      <c r="J188" s="4">
        <v>0.05</v>
      </c>
      <c r="K188" s="4" t="s">
        <v>175</v>
      </c>
      <c r="L188" s="16">
        <v>19600</v>
      </c>
    </row>
    <row r="189" spans="1:12" x14ac:dyDescent="0.3">
      <c r="A189" s="12">
        <v>188</v>
      </c>
      <c r="B189" s="12">
        <v>188</v>
      </c>
      <c r="C189" s="1">
        <v>2646</v>
      </c>
      <c r="D189" s="1">
        <f t="shared" si="2"/>
        <v>1776550</v>
      </c>
      <c r="E189" s="1">
        <v>133287</v>
      </c>
      <c r="F189" s="1" t="s">
        <v>166</v>
      </c>
      <c r="G189" s="4">
        <v>0.05</v>
      </c>
      <c r="H189" s="1">
        <v>133287</v>
      </c>
      <c r="I189" s="1" t="s">
        <v>166</v>
      </c>
      <c r="J189" s="4">
        <v>0.05</v>
      </c>
      <c r="K189" s="4" t="s">
        <v>175</v>
      </c>
      <c r="L189" s="16">
        <v>19700</v>
      </c>
    </row>
    <row r="190" spans="1:12" x14ac:dyDescent="0.3">
      <c r="A190" s="12">
        <v>189</v>
      </c>
      <c r="B190" s="12">
        <v>189</v>
      </c>
      <c r="C190" s="1">
        <v>2660</v>
      </c>
      <c r="D190" s="1">
        <f t="shared" si="2"/>
        <v>1795450</v>
      </c>
      <c r="E190" s="1">
        <v>134705</v>
      </c>
      <c r="F190" s="1" t="s">
        <v>166</v>
      </c>
      <c r="G190" s="4">
        <v>0.05</v>
      </c>
      <c r="H190" s="1">
        <v>134705</v>
      </c>
      <c r="I190" s="1" t="s">
        <v>166</v>
      </c>
      <c r="J190" s="4">
        <v>0.05</v>
      </c>
      <c r="K190" s="4" t="s">
        <v>175</v>
      </c>
      <c r="L190" s="16">
        <v>19800</v>
      </c>
    </row>
    <row r="191" spans="1:12" x14ac:dyDescent="0.3">
      <c r="A191" s="12">
        <v>190</v>
      </c>
      <c r="B191" s="12">
        <v>190</v>
      </c>
      <c r="C191" s="1">
        <v>2674</v>
      </c>
      <c r="D191" s="1">
        <f t="shared" si="2"/>
        <v>1814450</v>
      </c>
      <c r="E191" s="1">
        <v>136130</v>
      </c>
      <c r="F191" s="3" t="s">
        <v>167</v>
      </c>
      <c r="G191" s="4">
        <v>0.05</v>
      </c>
      <c r="H191" s="1">
        <v>136130</v>
      </c>
      <c r="I191" s="3" t="s">
        <v>167</v>
      </c>
      <c r="J191" s="4">
        <v>0.05</v>
      </c>
      <c r="K191" s="4" t="s">
        <v>175</v>
      </c>
      <c r="L191" s="16">
        <v>19900</v>
      </c>
    </row>
    <row r="192" spans="1:12" x14ac:dyDescent="0.3">
      <c r="A192" s="12">
        <v>191</v>
      </c>
      <c r="B192" s="12">
        <v>191</v>
      </c>
      <c r="C192" s="1">
        <v>2688</v>
      </c>
      <c r="D192" s="1">
        <f t="shared" si="2"/>
        <v>1833550</v>
      </c>
      <c r="E192" s="1">
        <v>137562</v>
      </c>
      <c r="F192" s="3" t="s">
        <v>167</v>
      </c>
      <c r="G192" s="4">
        <v>0.05</v>
      </c>
      <c r="H192" s="1">
        <v>137562</v>
      </c>
      <c r="I192" s="3" t="s">
        <v>167</v>
      </c>
      <c r="J192" s="4">
        <v>0.05</v>
      </c>
      <c r="K192" s="4" t="s">
        <v>175</v>
      </c>
      <c r="L192" s="16">
        <v>20000</v>
      </c>
    </row>
    <row r="193" spans="1:12" x14ac:dyDescent="0.3">
      <c r="A193" s="12">
        <v>192</v>
      </c>
      <c r="B193" s="12">
        <v>192</v>
      </c>
      <c r="C193" s="1">
        <v>2702</v>
      </c>
      <c r="D193" s="1">
        <f t="shared" si="2"/>
        <v>1852750</v>
      </c>
      <c r="E193" s="1">
        <v>139002</v>
      </c>
      <c r="F193" s="3" t="s">
        <v>167</v>
      </c>
      <c r="G193" s="4">
        <v>0.05</v>
      </c>
      <c r="H193" s="1">
        <v>139002</v>
      </c>
      <c r="I193" s="3" t="s">
        <v>167</v>
      </c>
      <c r="J193" s="4">
        <v>0.05</v>
      </c>
      <c r="K193" s="4" t="s">
        <v>175</v>
      </c>
      <c r="L193" s="16">
        <v>20100</v>
      </c>
    </row>
    <row r="194" spans="1:12" x14ac:dyDescent="0.3">
      <c r="A194" s="12">
        <v>193</v>
      </c>
      <c r="B194" s="12">
        <v>193</v>
      </c>
      <c r="C194" s="1">
        <v>2716</v>
      </c>
      <c r="D194" s="1">
        <f t="shared" si="2"/>
        <v>1872050</v>
      </c>
      <c r="E194" s="1">
        <v>140450</v>
      </c>
      <c r="F194" s="3" t="s">
        <v>167</v>
      </c>
      <c r="G194" s="4">
        <v>0.05</v>
      </c>
      <c r="H194" s="1">
        <v>140450</v>
      </c>
      <c r="I194" s="3" t="s">
        <v>167</v>
      </c>
      <c r="J194" s="4">
        <v>0.05</v>
      </c>
      <c r="K194" s="4" t="s">
        <v>175</v>
      </c>
      <c r="L194" s="16">
        <v>20200</v>
      </c>
    </row>
    <row r="195" spans="1:12" x14ac:dyDescent="0.3">
      <c r="A195" s="12">
        <v>194</v>
      </c>
      <c r="B195" s="12">
        <v>194</v>
      </c>
      <c r="C195" s="1">
        <v>2730</v>
      </c>
      <c r="D195" s="1">
        <f t="shared" si="2"/>
        <v>1891450</v>
      </c>
      <c r="E195" s="1">
        <v>141905</v>
      </c>
      <c r="F195" s="3" t="s">
        <v>167</v>
      </c>
      <c r="G195" s="4">
        <v>0.05</v>
      </c>
      <c r="H195" s="1">
        <v>141905</v>
      </c>
      <c r="I195" s="3" t="s">
        <v>167</v>
      </c>
      <c r="J195" s="4">
        <v>0.05</v>
      </c>
      <c r="K195" s="4" t="s">
        <v>175</v>
      </c>
      <c r="L195" s="16">
        <v>20300</v>
      </c>
    </row>
    <row r="196" spans="1:12" x14ac:dyDescent="0.3">
      <c r="A196" s="12">
        <v>195</v>
      </c>
      <c r="B196" s="12">
        <v>195</v>
      </c>
      <c r="C196" s="1">
        <v>2744</v>
      </c>
      <c r="D196" s="1">
        <f t="shared" ref="D196:D259" si="3">$D$2*A196+(D195+(A196*$D$2))</f>
        <v>1910950</v>
      </c>
      <c r="E196" s="1">
        <v>143367</v>
      </c>
      <c r="F196" s="3" t="s">
        <v>167</v>
      </c>
      <c r="G196" s="4">
        <v>0.05</v>
      </c>
      <c r="H196" s="1">
        <v>143367</v>
      </c>
      <c r="I196" s="3" t="s">
        <v>167</v>
      </c>
      <c r="J196" s="4">
        <v>0.05</v>
      </c>
      <c r="K196" s="4" t="s">
        <v>175</v>
      </c>
      <c r="L196" s="16">
        <v>20400</v>
      </c>
    </row>
    <row r="197" spans="1:12" x14ac:dyDescent="0.3">
      <c r="A197" s="12">
        <v>196</v>
      </c>
      <c r="B197" s="12">
        <v>196</v>
      </c>
      <c r="C197" s="1">
        <v>2758</v>
      </c>
      <c r="D197" s="1">
        <f t="shared" si="3"/>
        <v>1930550</v>
      </c>
      <c r="E197" s="1">
        <v>144837</v>
      </c>
      <c r="F197" s="3" t="s">
        <v>167</v>
      </c>
      <c r="G197" s="4">
        <v>0.05</v>
      </c>
      <c r="H197" s="1">
        <v>144837</v>
      </c>
      <c r="I197" s="3" t="s">
        <v>167</v>
      </c>
      <c r="J197" s="4">
        <v>0.05</v>
      </c>
      <c r="K197" s="4" t="s">
        <v>175</v>
      </c>
      <c r="L197" s="16">
        <v>20500</v>
      </c>
    </row>
    <row r="198" spans="1:12" x14ac:dyDescent="0.3">
      <c r="A198" s="12">
        <v>197</v>
      </c>
      <c r="B198" s="12">
        <v>197</v>
      </c>
      <c r="C198" s="1">
        <v>2772</v>
      </c>
      <c r="D198" s="1">
        <f t="shared" si="3"/>
        <v>1950250</v>
      </c>
      <c r="E198" s="1">
        <v>146315</v>
      </c>
      <c r="F198" s="3" t="s">
        <v>167</v>
      </c>
      <c r="G198" s="4">
        <v>0.05</v>
      </c>
      <c r="H198" s="1">
        <v>146315</v>
      </c>
      <c r="I198" s="3" t="s">
        <v>167</v>
      </c>
      <c r="J198" s="4">
        <v>0.05</v>
      </c>
      <c r="K198" s="4" t="s">
        <v>175</v>
      </c>
      <c r="L198" s="16">
        <v>20600</v>
      </c>
    </row>
    <row r="199" spans="1:12" x14ac:dyDescent="0.3">
      <c r="A199" s="12">
        <v>198</v>
      </c>
      <c r="B199" s="12">
        <v>198</v>
      </c>
      <c r="C199" s="1">
        <v>2786</v>
      </c>
      <c r="D199" s="1">
        <f t="shared" si="3"/>
        <v>1970050</v>
      </c>
      <c r="E199" s="1">
        <v>147800</v>
      </c>
      <c r="F199" s="3" t="s">
        <v>167</v>
      </c>
      <c r="G199" s="4">
        <v>0.05</v>
      </c>
      <c r="H199" s="1">
        <v>147800</v>
      </c>
      <c r="I199" s="3" t="s">
        <v>167</v>
      </c>
      <c r="J199" s="4">
        <v>0.05</v>
      </c>
      <c r="K199" s="4" t="s">
        <v>175</v>
      </c>
      <c r="L199" s="16">
        <v>20700</v>
      </c>
    </row>
    <row r="200" spans="1:12" x14ac:dyDescent="0.3">
      <c r="A200" s="12">
        <v>199</v>
      </c>
      <c r="B200" s="12">
        <v>199</v>
      </c>
      <c r="C200" s="1">
        <v>2800</v>
      </c>
      <c r="D200" s="1">
        <f t="shared" si="3"/>
        <v>1989950</v>
      </c>
      <c r="E200" s="1">
        <v>149292</v>
      </c>
      <c r="F200" s="3" t="s">
        <v>167</v>
      </c>
      <c r="G200" s="4">
        <v>0.05</v>
      </c>
      <c r="H200" s="1">
        <v>149292</v>
      </c>
      <c r="I200" s="3" t="s">
        <v>167</v>
      </c>
      <c r="J200" s="4">
        <v>0.05</v>
      </c>
      <c r="K200" s="4" t="s">
        <v>175</v>
      </c>
      <c r="L200" s="16">
        <v>20800</v>
      </c>
    </row>
    <row r="201" spans="1:12" x14ac:dyDescent="0.3">
      <c r="A201" s="13">
        <v>200</v>
      </c>
      <c r="B201" s="13">
        <v>200</v>
      </c>
      <c r="C201" s="1">
        <v>2814</v>
      </c>
      <c r="D201" s="1">
        <f t="shared" si="3"/>
        <v>2009950</v>
      </c>
      <c r="E201" s="1">
        <v>150792</v>
      </c>
      <c r="F201" s="1" t="s">
        <v>168</v>
      </c>
      <c r="G201" s="4">
        <v>0.05</v>
      </c>
      <c r="H201" s="1">
        <v>150792</v>
      </c>
      <c r="I201" s="1" t="s">
        <v>168</v>
      </c>
      <c r="J201" s="4">
        <v>0.05</v>
      </c>
      <c r="K201" s="4" t="s">
        <v>175</v>
      </c>
      <c r="L201" s="16">
        <v>42000</v>
      </c>
    </row>
    <row r="202" spans="1:12" x14ac:dyDescent="0.3">
      <c r="A202" s="12">
        <v>201</v>
      </c>
      <c r="B202" s="12">
        <v>201</v>
      </c>
      <c r="C202" s="1">
        <v>2828</v>
      </c>
      <c r="D202" s="1">
        <f t="shared" si="3"/>
        <v>2030050</v>
      </c>
      <c r="E202" s="1">
        <v>152300</v>
      </c>
      <c r="F202" s="1" t="s">
        <v>168</v>
      </c>
      <c r="G202" s="4">
        <v>0.05</v>
      </c>
      <c r="H202" s="1">
        <v>152300</v>
      </c>
      <c r="I202" s="1" t="s">
        <v>168</v>
      </c>
      <c r="J202" s="4">
        <v>0.05</v>
      </c>
      <c r="K202" s="4" t="s">
        <v>175</v>
      </c>
      <c r="L202" s="16">
        <v>21000</v>
      </c>
    </row>
    <row r="203" spans="1:12" x14ac:dyDescent="0.3">
      <c r="A203" s="12">
        <v>202</v>
      </c>
      <c r="B203" s="12">
        <v>202</v>
      </c>
      <c r="C203" s="1">
        <v>2842</v>
      </c>
      <c r="D203" s="1">
        <f t="shared" si="3"/>
        <v>2050250</v>
      </c>
      <c r="E203" s="1">
        <v>153815</v>
      </c>
      <c r="F203" s="1" t="s">
        <v>168</v>
      </c>
      <c r="G203" s="4">
        <v>0.05</v>
      </c>
      <c r="H203" s="1">
        <v>153815</v>
      </c>
      <c r="I203" s="1" t="s">
        <v>168</v>
      </c>
      <c r="J203" s="4">
        <v>0.05</v>
      </c>
      <c r="K203" s="4" t="s">
        <v>175</v>
      </c>
      <c r="L203" s="16">
        <v>21100</v>
      </c>
    </row>
    <row r="204" spans="1:12" x14ac:dyDescent="0.3">
      <c r="A204" s="12">
        <v>203</v>
      </c>
      <c r="B204" s="12">
        <v>203</v>
      </c>
      <c r="C204" s="1">
        <v>2856</v>
      </c>
      <c r="D204" s="1">
        <f t="shared" si="3"/>
        <v>2070550</v>
      </c>
      <c r="E204" s="1">
        <v>155337</v>
      </c>
      <c r="F204" s="1" t="s">
        <v>168</v>
      </c>
      <c r="G204" s="4">
        <v>0.05</v>
      </c>
      <c r="H204" s="1">
        <v>155337</v>
      </c>
      <c r="I204" s="1" t="s">
        <v>168</v>
      </c>
      <c r="J204" s="4">
        <v>0.05</v>
      </c>
      <c r="K204" s="4" t="s">
        <v>175</v>
      </c>
      <c r="L204" s="16">
        <v>21200</v>
      </c>
    </row>
    <row r="205" spans="1:12" x14ac:dyDescent="0.3">
      <c r="A205" s="12">
        <v>204</v>
      </c>
      <c r="B205" s="12">
        <v>204</v>
      </c>
      <c r="C205" s="1">
        <v>2870</v>
      </c>
      <c r="D205" s="1">
        <f t="shared" si="3"/>
        <v>2090950</v>
      </c>
      <c r="E205" s="1">
        <v>156867</v>
      </c>
      <c r="F205" s="1" t="s">
        <v>168</v>
      </c>
      <c r="G205" s="4">
        <v>0.05</v>
      </c>
      <c r="H205" s="1">
        <v>156867</v>
      </c>
      <c r="I205" s="1" t="s">
        <v>168</v>
      </c>
      <c r="J205" s="4">
        <v>0.05</v>
      </c>
      <c r="K205" s="4" t="s">
        <v>175</v>
      </c>
      <c r="L205" s="16">
        <v>21300</v>
      </c>
    </row>
    <row r="206" spans="1:12" x14ac:dyDescent="0.3">
      <c r="A206" s="12">
        <v>205</v>
      </c>
      <c r="B206" s="12">
        <v>205</v>
      </c>
      <c r="C206" s="1">
        <v>2884</v>
      </c>
      <c r="D206" s="1">
        <f t="shared" si="3"/>
        <v>2111450</v>
      </c>
      <c r="E206" s="1">
        <v>158405</v>
      </c>
      <c r="F206" s="1" t="s">
        <v>168</v>
      </c>
      <c r="G206" s="4">
        <v>0.05</v>
      </c>
      <c r="H206" s="1">
        <v>158405</v>
      </c>
      <c r="I206" s="1" t="s">
        <v>168</v>
      </c>
      <c r="J206" s="4">
        <v>0.05</v>
      </c>
      <c r="K206" s="4" t="s">
        <v>175</v>
      </c>
      <c r="L206" s="16">
        <v>21400</v>
      </c>
    </row>
    <row r="207" spans="1:12" x14ac:dyDescent="0.3">
      <c r="A207" s="12">
        <v>206</v>
      </c>
      <c r="B207" s="12">
        <v>206</v>
      </c>
      <c r="C207" s="1">
        <v>2898</v>
      </c>
      <c r="D207" s="1">
        <f t="shared" si="3"/>
        <v>2132050</v>
      </c>
      <c r="E207" s="1">
        <v>159950</v>
      </c>
      <c r="F207" s="1" t="s">
        <v>168</v>
      </c>
      <c r="G207" s="4">
        <v>0.05</v>
      </c>
      <c r="H207" s="1">
        <v>159950</v>
      </c>
      <c r="I207" s="1" t="s">
        <v>168</v>
      </c>
      <c r="J207" s="4">
        <v>0.05</v>
      </c>
      <c r="K207" s="4" t="s">
        <v>175</v>
      </c>
      <c r="L207" s="16">
        <v>21500</v>
      </c>
    </row>
    <row r="208" spans="1:12" x14ac:dyDescent="0.3">
      <c r="A208" s="12">
        <v>207</v>
      </c>
      <c r="B208" s="12">
        <v>207</v>
      </c>
      <c r="C208" s="1">
        <v>2912</v>
      </c>
      <c r="D208" s="1">
        <f t="shared" si="3"/>
        <v>2152750</v>
      </c>
      <c r="E208" s="1">
        <v>161502</v>
      </c>
      <c r="F208" s="1" t="s">
        <v>168</v>
      </c>
      <c r="G208" s="4">
        <v>0.05</v>
      </c>
      <c r="H208" s="1">
        <v>161502</v>
      </c>
      <c r="I208" s="1" t="s">
        <v>168</v>
      </c>
      <c r="J208" s="4">
        <v>0.05</v>
      </c>
      <c r="K208" s="4" t="s">
        <v>175</v>
      </c>
      <c r="L208" s="16">
        <v>21600</v>
      </c>
    </row>
    <row r="209" spans="1:12" x14ac:dyDescent="0.3">
      <c r="A209" s="12">
        <v>208</v>
      </c>
      <c r="B209" s="12">
        <v>208</v>
      </c>
      <c r="C209" s="1">
        <v>2926</v>
      </c>
      <c r="D209" s="1">
        <f t="shared" si="3"/>
        <v>2173550</v>
      </c>
      <c r="E209" s="1">
        <v>163062</v>
      </c>
      <c r="F209" s="1" t="s">
        <v>168</v>
      </c>
      <c r="G209" s="4">
        <v>0.05</v>
      </c>
      <c r="H209" s="1">
        <v>163062</v>
      </c>
      <c r="I209" s="1" t="s">
        <v>168</v>
      </c>
      <c r="J209" s="4">
        <v>0.05</v>
      </c>
      <c r="K209" s="4" t="s">
        <v>175</v>
      </c>
      <c r="L209" s="16">
        <v>21700</v>
      </c>
    </row>
    <row r="210" spans="1:12" x14ac:dyDescent="0.3">
      <c r="A210" s="12">
        <v>209</v>
      </c>
      <c r="B210" s="12">
        <v>209</v>
      </c>
      <c r="C210" s="1">
        <v>2940</v>
      </c>
      <c r="D210" s="1">
        <f t="shared" si="3"/>
        <v>2194450</v>
      </c>
      <c r="E210" s="1">
        <v>164630</v>
      </c>
      <c r="F210" s="1" t="s">
        <v>168</v>
      </c>
      <c r="G210" s="4">
        <v>0.05</v>
      </c>
      <c r="H210" s="1">
        <v>164630</v>
      </c>
      <c r="I210" s="1" t="s">
        <v>168</v>
      </c>
      <c r="J210" s="4">
        <v>0.05</v>
      </c>
      <c r="K210" s="4" t="s">
        <v>175</v>
      </c>
      <c r="L210" s="16">
        <v>21800</v>
      </c>
    </row>
    <row r="211" spans="1:12" x14ac:dyDescent="0.3">
      <c r="A211" s="12">
        <v>210</v>
      </c>
      <c r="B211" s="12">
        <v>210</v>
      </c>
      <c r="C211" s="1">
        <v>2954</v>
      </c>
      <c r="D211" s="1">
        <f t="shared" si="3"/>
        <v>2215450</v>
      </c>
      <c r="E211" s="1">
        <v>166205</v>
      </c>
      <c r="F211" s="1" t="s">
        <v>168</v>
      </c>
      <c r="G211" s="4">
        <v>0.05</v>
      </c>
      <c r="H211" s="1">
        <v>166205</v>
      </c>
      <c r="I211" s="1" t="s">
        <v>168</v>
      </c>
      <c r="J211" s="4">
        <v>0.05</v>
      </c>
      <c r="K211" s="4" t="s">
        <v>175</v>
      </c>
      <c r="L211" s="16">
        <v>21900</v>
      </c>
    </row>
    <row r="212" spans="1:12" x14ac:dyDescent="0.3">
      <c r="A212" s="12">
        <v>211</v>
      </c>
      <c r="B212" s="12">
        <v>211</v>
      </c>
      <c r="C212" s="1">
        <v>2968</v>
      </c>
      <c r="D212" s="1">
        <f t="shared" si="3"/>
        <v>2236550</v>
      </c>
      <c r="E212" s="1">
        <v>167787</v>
      </c>
      <c r="F212" s="1" t="s">
        <v>168</v>
      </c>
      <c r="G212" s="4">
        <v>0.05</v>
      </c>
      <c r="H212" s="1">
        <v>167787</v>
      </c>
      <c r="I212" s="1" t="s">
        <v>168</v>
      </c>
      <c r="J212" s="4">
        <v>0.05</v>
      </c>
      <c r="K212" s="4" t="s">
        <v>175</v>
      </c>
      <c r="L212" s="16">
        <v>22000</v>
      </c>
    </row>
    <row r="213" spans="1:12" x14ac:dyDescent="0.3">
      <c r="A213" s="12">
        <v>212</v>
      </c>
      <c r="B213" s="12">
        <v>212</v>
      </c>
      <c r="C213" s="1">
        <v>2982</v>
      </c>
      <c r="D213" s="1">
        <f t="shared" si="3"/>
        <v>2257750</v>
      </c>
      <c r="E213" s="1">
        <v>169377</v>
      </c>
      <c r="F213" s="1" t="s">
        <v>168</v>
      </c>
      <c r="G213" s="4">
        <v>0.05</v>
      </c>
      <c r="H213" s="1">
        <v>169377</v>
      </c>
      <c r="I213" s="1" t="s">
        <v>168</v>
      </c>
      <c r="J213" s="4">
        <v>0.05</v>
      </c>
      <c r="K213" s="4" t="s">
        <v>175</v>
      </c>
      <c r="L213" s="16">
        <v>22100</v>
      </c>
    </row>
    <row r="214" spans="1:12" x14ac:dyDescent="0.3">
      <c r="A214" s="12">
        <v>213</v>
      </c>
      <c r="B214" s="12">
        <v>213</v>
      </c>
      <c r="C214" s="1">
        <v>2996</v>
      </c>
      <c r="D214" s="1">
        <f t="shared" si="3"/>
        <v>2279050</v>
      </c>
      <c r="E214" s="1">
        <v>170975</v>
      </c>
      <c r="F214" s="1" t="s">
        <v>168</v>
      </c>
      <c r="G214" s="4">
        <v>0.05</v>
      </c>
      <c r="H214" s="1">
        <v>170975</v>
      </c>
      <c r="I214" s="1" t="s">
        <v>168</v>
      </c>
      <c r="J214" s="4">
        <v>0.05</v>
      </c>
      <c r="K214" s="4" t="s">
        <v>175</v>
      </c>
      <c r="L214" s="16">
        <v>22200</v>
      </c>
    </row>
    <row r="215" spans="1:12" x14ac:dyDescent="0.3">
      <c r="A215" s="12">
        <v>214</v>
      </c>
      <c r="B215" s="12">
        <v>214</v>
      </c>
      <c r="C215" s="1">
        <v>3010</v>
      </c>
      <c r="D215" s="1">
        <f t="shared" si="3"/>
        <v>2300450</v>
      </c>
      <c r="E215" s="1">
        <v>172580</v>
      </c>
      <c r="F215" s="1" t="s">
        <v>168</v>
      </c>
      <c r="G215" s="4">
        <v>0.05</v>
      </c>
      <c r="H215" s="1">
        <v>172580</v>
      </c>
      <c r="I215" s="1" t="s">
        <v>168</v>
      </c>
      <c r="J215" s="4">
        <v>0.05</v>
      </c>
      <c r="K215" s="4" t="s">
        <v>175</v>
      </c>
      <c r="L215" s="16">
        <v>22300</v>
      </c>
    </row>
    <row r="216" spans="1:12" x14ac:dyDescent="0.3">
      <c r="A216" s="12">
        <v>215</v>
      </c>
      <c r="B216" s="12">
        <v>215</v>
      </c>
      <c r="C216" s="1">
        <v>3024</v>
      </c>
      <c r="D216" s="1">
        <f t="shared" si="3"/>
        <v>2321950</v>
      </c>
      <c r="E216" s="1">
        <v>174192</v>
      </c>
      <c r="F216" s="1" t="s">
        <v>168</v>
      </c>
      <c r="G216" s="4">
        <v>0.05</v>
      </c>
      <c r="H216" s="1">
        <v>174192</v>
      </c>
      <c r="I216" s="1" t="s">
        <v>168</v>
      </c>
      <c r="J216" s="4">
        <v>0.05</v>
      </c>
      <c r="K216" s="4" t="s">
        <v>175</v>
      </c>
      <c r="L216" s="16">
        <v>22400</v>
      </c>
    </row>
    <row r="217" spans="1:12" x14ac:dyDescent="0.3">
      <c r="A217" s="12">
        <v>216</v>
      </c>
      <c r="B217" s="12">
        <v>216</v>
      </c>
      <c r="C217" s="1">
        <v>3038</v>
      </c>
      <c r="D217" s="1">
        <f t="shared" si="3"/>
        <v>2343550</v>
      </c>
      <c r="E217" s="1">
        <v>175812</v>
      </c>
      <c r="F217" s="1" t="s">
        <v>168</v>
      </c>
      <c r="G217" s="4">
        <v>0.05</v>
      </c>
      <c r="H217" s="1">
        <v>175812</v>
      </c>
      <c r="I217" s="1" t="s">
        <v>168</v>
      </c>
      <c r="J217" s="4">
        <v>0.05</v>
      </c>
      <c r="K217" s="4" t="s">
        <v>175</v>
      </c>
      <c r="L217" s="16">
        <v>22500</v>
      </c>
    </row>
    <row r="218" spans="1:12" x14ac:dyDescent="0.3">
      <c r="A218" s="12">
        <v>217</v>
      </c>
      <c r="B218" s="12">
        <v>217</v>
      </c>
      <c r="C218" s="1">
        <v>3052</v>
      </c>
      <c r="D218" s="1">
        <f t="shared" si="3"/>
        <v>2365250</v>
      </c>
      <c r="E218" s="1">
        <v>177440</v>
      </c>
      <c r="F218" s="1" t="s">
        <v>168</v>
      </c>
      <c r="G218" s="4">
        <v>0.05</v>
      </c>
      <c r="H218" s="1">
        <v>177440</v>
      </c>
      <c r="I218" s="1" t="s">
        <v>168</v>
      </c>
      <c r="J218" s="4">
        <v>0.05</v>
      </c>
      <c r="K218" s="4" t="s">
        <v>175</v>
      </c>
      <c r="L218" s="16">
        <v>22600</v>
      </c>
    </row>
    <row r="219" spans="1:12" x14ac:dyDescent="0.3">
      <c r="A219" s="12">
        <v>218</v>
      </c>
      <c r="B219" s="12">
        <v>218</v>
      </c>
      <c r="C219" s="1">
        <v>3066</v>
      </c>
      <c r="D219" s="1">
        <f t="shared" si="3"/>
        <v>2387050</v>
      </c>
      <c r="E219" s="1">
        <v>179075</v>
      </c>
      <c r="F219" s="1" t="s">
        <v>168</v>
      </c>
      <c r="G219" s="4">
        <v>0.05</v>
      </c>
      <c r="H219" s="1">
        <v>179075</v>
      </c>
      <c r="I219" s="1" t="s">
        <v>168</v>
      </c>
      <c r="J219" s="4">
        <v>0.05</v>
      </c>
      <c r="K219" s="4" t="s">
        <v>175</v>
      </c>
      <c r="L219" s="16">
        <v>22700</v>
      </c>
    </row>
    <row r="220" spans="1:12" x14ac:dyDescent="0.3">
      <c r="A220" s="12">
        <v>219</v>
      </c>
      <c r="B220" s="12">
        <v>219</v>
      </c>
      <c r="C220" s="1">
        <v>3080</v>
      </c>
      <c r="D220" s="1">
        <f t="shared" si="3"/>
        <v>2408950</v>
      </c>
      <c r="E220" s="1">
        <v>180717</v>
      </c>
      <c r="F220" s="1" t="s">
        <v>168</v>
      </c>
      <c r="G220" s="4">
        <v>0.05</v>
      </c>
      <c r="H220" s="1">
        <v>180717</v>
      </c>
      <c r="I220" s="1" t="s">
        <v>168</v>
      </c>
      <c r="J220" s="4">
        <v>0.05</v>
      </c>
      <c r="K220" s="4" t="s">
        <v>175</v>
      </c>
      <c r="L220" s="16">
        <v>22800</v>
      </c>
    </row>
    <row r="221" spans="1:12" x14ac:dyDescent="0.3">
      <c r="A221" s="13">
        <v>220</v>
      </c>
      <c r="B221" s="13">
        <v>220</v>
      </c>
      <c r="C221" s="1">
        <v>3094</v>
      </c>
      <c r="D221" s="1">
        <f t="shared" si="3"/>
        <v>2430950</v>
      </c>
      <c r="E221" s="1">
        <v>182367</v>
      </c>
      <c r="F221" s="1" t="s">
        <v>169</v>
      </c>
      <c r="G221" s="4">
        <v>0.05</v>
      </c>
      <c r="H221" s="1">
        <v>182367</v>
      </c>
      <c r="I221" s="1" t="s">
        <v>169</v>
      </c>
      <c r="J221" s="4">
        <v>0.05</v>
      </c>
      <c r="K221" s="4" t="s">
        <v>175</v>
      </c>
      <c r="L221" s="16">
        <v>46000</v>
      </c>
    </row>
    <row r="222" spans="1:12" x14ac:dyDescent="0.3">
      <c r="A222" s="12">
        <v>221</v>
      </c>
      <c r="B222" s="12">
        <v>221</v>
      </c>
      <c r="C222" s="1">
        <v>3108</v>
      </c>
      <c r="D222" s="1">
        <f t="shared" si="3"/>
        <v>2453050</v>
      </c>
      <c r="E222" s="1">
        <v>184025</v>
      </c>
      <c r="F222" s="1" t="s">
        <v>169</v>
      </c>
      <c r="G222" s="4">
        <v>0.05</v>
      </c>
      <c r="H222" s="1">
        <v>184025</v>
      </c>
      <c r="I222" s="1" t="s">
        <v>169</v>
      </c>
      <c r="J222" s="4">
        <v>0.05</v>
      </c>
      <c r="K222" s="4" t="s">
        <v>175</v>
      </c>
      <c r="L222" s="16">
        <v>23000</v>
      </c>
    </row>
    <row r="223" spans="1:12" x14ac:dyDescent="0.3">
      <c r="A223" s="12">
        <v>222</v>
      </c>
      <c r="B223" s="12">
        <v>222</v>
      </c>
      <c r="C223" s="1">
        <v>3122</v>
      </c>
      <c r="D223" s="1">
        <f t="shared" si="3"/>
        <v>2475250</v>
      </c>
      <c r="E223" s="1">
        <v>185690</v>
      </c>
      <c r="F223" s="1" t="s">
        <v>169</v>
      </c>
      <c r="G223" s="4">
        <v>0.05</v>
      </c>
      <c r="H223" s="1">
        <v>185690</v>
      </c>
      <c r="I223" s="1" t="s">
        <v>169</v>
      </c>
      <c r="J223" s="4">
        <v>0.05</v>
      </c>
      <c r="K223" s="4" t="s">
        <v>175</v>
      </c>
      <c r="L223" s="16">
        <v>23100</v>
      </c>
    </row>
    <row r="224" spans="1:12" x14ac:dyDescent="0.3">
      <c r="A224" s="12">
        <v>223</v>
      </c>
      <c r="B224" s="12">
        <v>223</v>
      </c>
      <c r="C224" s="1">
        <v>3136</v>
      </c>
      <c r="D224" s="1">
        <f t="shared" si="3"/>
        <v>2497550</v>
      </c>
      <c r="E224" s="1">
        <v>187362</v>
      </c>
      <c r="F224" s="1" t="s">
        <v>169</v>
      </c>
      <c r="G224" s="4">
        <v>0.05</v>
      </c>
      <c r="H224" s="1">
        <v>187362</v>
      </c>
      <c r="I224" s="1" t="s">
        <v>169</v>
      </c>
      <c r="J224" s="4">
        <v>0.05</v>
      </c>
      <c r="K224" s="4" t="s">
        <v>175</v>
      </c>
      <c r="L224" s="16">
        <v>23200</v>
      </c>
    </row>
    <row r="225" spans="1:12" x14ac:dyDescent="0.3">
      <c r="A225" s="12">
        <v>224</v>
      </c>
      <c r="B225" s="12">
        <v>224</v>
      </c>
      <c r="C225" s="1">
        <v>3150</v>
      </c>
      <c r="D225" s="1">
        <f t="shared" si="3"/>
        <v>2519950</v>
      </c>
      <c r="E225" s="1">
        <v>189042</v>
      </c>
      <c r="F225" s="1" t="s">
        <v>169</v>
      </c>
      <c r="G225" s="4">
        <v>0.05</v>
      </c>
      <c r="H225" s="1">
        <v>189042</v>
      </c>
      <c r="I225" s="1" t="s">
        <v>169</v>
      </c>
      <c r="J225" s="4">
        <v>0.05</v>
      </c>
      <c r="K225" s="4" t="s">
        <v>175</v>
      </c>
      <c r="L225" s="16">
        <v>23300</v>
      </c>
    </row>
    <row r="226" spans="1:12" x14ac:dyDescent="0.3">
      <c r="A226" s="12">
        <v>225</v>
      </c>
      <c r="B226" s="12">
        <v>225</v>
      </c>
      <c r="C226" s="1">
        <v>3164</v>
      </c>
      <c r="D226" s="1">
        <f t="shared" si="3"/>
        <v>2542450</v>
      </c>
      <c r="E226" s="1">
        <v>190730</v>
      </c>
      <c r="F226" s="1" t="s">
        <v>169</v>
      </c>
      <c r="G226" s="4">
        <v>0.05</v>
      </c>
      <c r="H226" s="1">
        <v>190730</v>
      </c>
      <c r="I226" s="1" t="s">
        <v>169</v>
      </c>
      <c r="J226" s="4">
        <v>0.05</v>
      </c>
      <c r="K226" s="4" t="s">
        <v>175</v>
      </c>
      <c r="L226" s="16">
        <v>23400</v>
      </c>
    </row>
    <row r="227" spans="1:12" x14ac:dyDescent="0.3">
      <c r="A227" s="12">
        <v>226</v>
      </c>
      <c r="B227" s="12">
        <v>226</v>
      </c>
      <c r="C227" s="1">
        <v>3178</v>
      </c>
      <c r="D227" s="1">
        <f t="shared" si="3"/>
        <v>2565050</v>
      </c>
      <c r="E227" s="1">
        <v>192425</v>
      </c>
      <c r="F227" s="1" t="s">
        <v>169</v>
      </c>
      <c r="G227" s="4">
        <v>0.05</v>
      </c>
      <c r="H227" s="1">
        <v>192425</v>
      </c>
      <c r="I227" s="1" t="s">
        <v>169</v>
      </c>
      <c r="J227" s="4">
        <v>0.05</v>
      </c>
      <c r="K227" s="4" t="s">
        <v>175</v>
      </c>
      <c r="L227" s="16">
        <v>23500</v>
      </c>
    </row>
    <row r="228" spans="1:12" x14ac:dyDescent="0.3">
      <c r="A228" s="12">
        <v>227</v>
      </c>
      <c r="B228" s="12">
        <v>227</v>
      </c>
      <c r="C228" s="1">
        <v>3192</v>
      </c>
      <c r="D228" s="1">
        <f t="shared" si="3"/>
        <v>2587750</v>
      </c>
      <c r="E228" s="1">
        <v>194127</v>
      </c>
      <c r="F228" s="1" t="s">
        <v>169</v>
      </c>
      <c r="G228" s="4">
        <v>0.05</v>
      </c>
      <c r="H228" s="1">
        <v>194127</v>
      </c>
      <c r="I228" s="1" t="s">
        <v>169</v>
      </c>
      <c r="J228" s="4">
        <v>0.05</v>
      </c>
      <c r="K228" s="4" t="s">
        <v>175</v>
      </c>
      <c r="L228" s="16">
        <v>23600</v>
      </c>
    </row>
    <row r="229" spans="1:12" x14ac:dyDescent="0.3">
      <c r="A229" s="12">
        <v>228</v>
      </c>
      <c r="B229" s="12">
        <v>228</v>
      </c>
      <c r="C229" s="1">
        <v>3206</v>
      </c>
      <c r="D229" s="1">
        <f t="shared" si="3"/>
        <v>2610550</v>
      </c>
      <c r="E229" s="1">
        <v>195837</v>
      </c>
      <c r="F229" s="1" t="s">
        <v>169</v>
      </c>
      <c r="G229" s="4">
        <v>0.05</v>
      </c>
      <c r="H229" s="1">
        <v>195837</v>
      </c>
      <c r="I229" s="1" t="s">
        <v>169</v>
      </c>
      <c r="J229" s="4">
        <v>0.05</v>
      </c>
      <c r="K229" s="4" t="s">
        <v>175</v>
      </c>
      <c r="L229" s="16">
        <v>23700</v>
      </c>
    </row>
    <row r="230" spans="1:12" x14ac:dyDescent="0.3">
      <c r="A230" s="12">
        <v>229</v>
      </c>
      <c r="B230" s="12">
        <v>229</v>
      </c>
      <c r="C230" s="1">
        <v>3220</v>
      </c>
      <c r="D230" s="1">
        <f t="shared" si="3"/>
        <v>2633450</v>
      </c>
      <c r="E230" s="1">
        <v>197555</v>
      </c>
      <c r="F230" s="1" t="s">
        <v>169</v>
      </c>
      <c r="G230" s="4">
        <v>0.05</v>
      </c>
      <c r="H230" s="1">
        <v>197555</v>
      </c>
      <c r="I230" s="1" t="s">
        <v>169</v>
      </c>
      <c r="J230" s="4">
        <v>0.05</v>
      </c>
      <c r="K230" s="4" t="s">
        <v>175</v>
      </c>
      <c r="L230" s="16">
        <v>23800</v>
      </c>
    </row>
    <row r="231" spans="1:12" x14ac:dyDescent="0.3">
      <c r="A231" s="12">
        <v>230</v>
      </c>
      <c r="B231" s="12">
        <v>230</v>
      </c>
      <c r="C231" s="1">
        <v>3234</v>
      </c>
      <c r="D231" s="1">
        <f t="shared" si="3"/>
        <v>2656450</v>
      </c>
      <c r="E231" s="1">
        <v>199280</v>
      </c>
      <c r="F231" s="1" t="s">
        <v>169</v>
      </c>
      <c r="G231" s="4">
        <v>0.05</v>
      </c>
      <c r="H231" s="1">
        <v>199280</v>
      </c>
      <c r="I231" s="1" t="s">
        <v>169</v>
      </c>
      <c r="J231" s="4">
        <v>0.05</v>
      </c>
      <c r="K231" s="4" t="s">
        <v>175</v>
      </c>
      <c r="L231" s="16">
        <v>23900</v>
      </c>
    </row>
    <row r="232" spans="1:12" x14ac:dyDescent="0.3">
      <c r="A232" s="12">
        <v>231</v>
      </c>
      <c r="B232" s="12">
        <v>231</v>
      </c>
      <c r="C232" s="1">
        <v>3248</v>
      </c>
      <c r="D232" s="1">
        <f t="shared" si="3"/>
        <v>2679550</v>
      </c>
      <c r="E232" s="1">
        <v>201012</v>
      </c>
      <c r="F232" s="1" t="s">
        <v>169</v>
      </c>
      <c r="G232" s="4">
        <v>0.05</v>
      </c>
      <c r="H232" s="1">
        <v>201012</v>
      </c>
      <c r="I232" s="1" t="s">
        <v>169</v>
      </c>
      <c r="J232" s="4">
        <v>0.05</v>
      </c>
      <c r="K232" s="4" t="s">
        <v>175</v>
      </c>
      <c r="L232" s="16">
        <v>24000</v>
      </c>
    </row>
    <row r="233" spans="1:12" x14ac:dyDescent="0.3">
      <c r="A233" s="12">
        <v>232</v>
      </c>
      <c r="B233" s="12">
        <v>232</v>
      </c>
      <c r="C233" s="1">
        <v>3262</v>
      </c>
      <c r="D233" s="1">
        <f t="shared" si="3"/>
        <v>2702750</v>
      </c>
      <c r="E233" s="1">
        <v>202752</v>
      </c>
      <c r="F233" s="1" t="s">
        <v>169</v>
      </c>
      <c r="G233" s="4">
        <v>0.05</v>
      </c>
      <c r="H233" s="1">
        <v>202752</v>
      </c>
      <c r="I233" s="1" t="s">
        <v>169</v>
      </c>
      <c r="J233" s="4">
        <v>0.05</v>
      </c>
      <c r="K233" s="4" t="s">
        <v>175</v>
      </c>
      <c r="L233" s="16">
        <v>24100</v>
      </c>
    </row>
    <row r="234" spans="1:12" x14ac:dyDescent="0.3">
      <c r="A234" s="12">
        <v>233</v>
      </c>
      <c r="B234" s="12">
        <v>233</v>
      </c>
      <c r="C234" s="1">
        <v>3276</v>
      </c>
      <c r="D234" s="1">
        <f t="shared" si="3"/>
        <v>2726050</v>
      </c>
      <c r="E234" s="1">
        <v>204500</v>
      </c>
      <c r="F234" s="1" t="s">
        <v>169</v>
      </c>
      <c r="G234" s="4">
        <v>0.05</v>
      </c>
      <c r="H234" s="1">
        <v>204500</v>
      </c>
      <c r="I234" s="1" t="s">
        <v>169</v>
      </c>
      <c r="J234" s="4">
        <v>0.05</v>
      </c>
      <c r="K234" s="4" t="s">
        <v>175</v>
      </c>
      <c r="L234" s="16">
        <v>24200</v>
      </c>
    </row>
    <row r="235" spans="1:12" x14ac:dyDescent="0.3">
      <c r="A235" s="12">
        <v>234</v>
      </c>
      <c r="B235" s="12">
        <v>234</v>
      </c>
      <c r="C235" s="1">
        <v>3290</v>
      </c>
      <c r="D235" s="1">
        <f t="shared" si="3"/>
        <v>2749450</v>
      </c>
      <c r="E235" s="1">
        <v>206255</v>
      </c>
      <c r="F235" s="1" t="s">
        <v>169</v>
      </c>
      <c r="G235" s="4">
        <v>0.05</v>
      </c>
      <c r="H235" s="1">
        <v>206255</v>
      </c>
      <c r="I235" s="1" t="s">
        <v>169</v>
      </c>
      <c r="J235" s="4">
        <v>0.05</v>
      </c>
      <c r="K235" s="4" t="s">
        <v>175</v>
      </c>
      <c r="L235" s="16">
        <v>24300</v>
      </c>
    </row>
    <row r="236" spans="1:12" x14ac:dyDescent="0.3">
      <c r="A236" s="12">
        <v>235</v>
      </c>
      <c r="B236" s="12">
        <v>235</v>
      </c>
      <c r="C236" s="1">
        <v>3304</v>
      </c>
      <c r="D236" s="1">
        <f t="shared" si="3"/>
        <v>2772950</v>
      </c>
      <c r="E236" s="1">
        <v>208017</v>
      </c>
      <c r="F236" s="1" t="s">
        <v>169</v>
      </c>
      <c r="G236" s="4">
        <v>0.05</v>
      </c>
      <c r="H236" s="1">
        <v>208017</v>
      </c>
      <c r="I236" s="1" t="s">
        <v>169</v>
      </c>
      <c r="J236" s="4">
        <v>0.05</v>
      </c>
      <c r="K236" s="4" t="s">
        <v>175</v>
      </c>
      <c r="L236" s="16">
        <v>24400</v>
      </c>
    </row>
    <row r="237" spans="1:12" x14ac:dyDescent="0.3">
      <c r="A237" s="12">
        <v>236</v>
      </c>
      <c r="B237" s="12">
        <v>236</v>
      </c>
      <c r="C237" s="1">
        <v>3318</v>
      </c>
      <c r="D237" s="1">
        <f t="shared" si="3"/>
        <v>2796550</v>
      </c>
      <c r="E237" s="1">
        <v>209787</v>
      </c>
      <c r="F237" s="1" t="s">
        <v>169</v>
      </c>
      <c r="G237" s="4">
        <v>0.05</v>
      </c>
      <c r="H237" s="1">
        <v>209787</v>
      </c>
      <c r="I237" s="1" t="s">
        <v>169</v>
      </c>
      <c r="J237" s="4">
        <v>0.05</v>
      </c>
      <c r="K237" s="4" t="s">
        <v>175</v>
      </c>
      <c r="L237" s="16">
        <v>24500</v>
      </c>
    </row>
    <row r="238" spans="1:12" x14ac:dyDescent="0.3">
      <c r="A238" s="12">
        <v>237</v>
      </c>
      <c r="B238" s="12">
        <v>237</v>
      </c>
      <c r="C238" s="1">
        <v>3332</v>
      </c>
      <c r="D238" s="1">
        <f t="shared" si="3"/>
        <v>2820250</v>
      </c>
      <c r="E238" s="1">
        <v>211565</v>
      </c>
      <c r="F238" s="1" t="s">
        <v>169</v>
      </c>
      <c r="G238" s="4">
        <v>0.05</v>
      </c>
      <c r="H238" s="1">
        <v>211565</v>
      </c>
      <c r="I238" s="1" t="s">
        <v>169</v>
      </c>
      <c r="J238" s="4">
        <v>0.05</v>
      </c>
      <c r="K238" s="4" t="s">
        <v>175</v>
      </c>
      <c r="L238" s="16">
        <v>24600</v>
      </c>
    </row>
    <row r="239" spans="1:12" x14ac:dyDescent="0.3">
      <c r="A239" s="12">
        <v>238</v>
      </c>
      <c r="B239" s="12">
        <v>238</v>
      </c>
      <c r="C239" s="1">
        <v>3346</v>
      </c>
      <c r="D239" s="1">
        <f t="shared" si="3"/>
        <v>2844050</v>
      </c>
      <c r="E239" s="1">
        <v>213350</v>
      </c>
      <c r="F239" s="1" t="s">
        <v>169</v>
      </c>
      <c r="G239" s="4">
        <v>0.05</v>
      </c>
      <c r="H239" s="1">
        <v>213350</v>
      </c>
      <c r="I239" s="1" t="s">
        <v>169</v>
      </c>
      <c r="J239" s="4">
        <v>0.05</v>
      </c>
      <c r="K239" s="4" t="s">
        <v>175</v>
      </c>
      <c r="L239" s="16">
        <v>24700</v>
      </c>
    </row>
    <row r="240" spans="1:12" x14ac:dyDescent="0.3">
      <c r="A240" s="12">
        <v>239</v>
      </c>
      <c r="B240" s="12">
        <v>239</v>
      </c>
      <c r="C240" s="1">
        <v>3360</v>
      </c>
      <c r="D240" s="1">
        <f t="shared" si="3"/>
        <v>2867950</v>
      </c>
      <c r="E240" s="1">
        <v>215142</v>
      </c>
      <c r="F240" s="1" t="s">
        <v>169</v>
      </c>
      <c r="G240" s="4">
        <v>0.05</v>
      </c>
      <c r="H240" s="1">
        <v>215142</v>
      </c>
      <c r="I240" s="1" t="s">
        <v>169</v>
      </c>
      <c r="J240" s="4">
        <v>0.05</v>
      </c>
      <c r="K240" s="4" t="s">
        <v>175</v>
      </c>
      <c r="L240" s="16">
        <v>24800</v>
      </c>
    </row>
    <row r="241" spans="1:12" x14ac:dyDescent="0.3">
      <c r="A241" s="13">
        <v>240</v>
      </c>
      <c r="B241" s="13">
        <v>240</v>
      </c>
      <c r="C241" s="1">
        <v>3374</v>
      </c>
      <c r="D241" s="1">
        <f t="shared" si="3"/>
        <v>2891950</v>
      </c>
      <c r="E241" s="1">
        <v>216942</v>
      </c>
      <c r="F241" s="1" t="s">
        <v>170</v>
      </c>
      <c r="G241" s="4">
        <v>0.05</v>
      </c>
      <c r="H241" s="1">
        <v>216942</v>
      </c>
      <c r="I241" s="1" t="s">
        <v>170</v>
      </c>
      <c r="J241" s="4">
        <v>0.05</v>
      </c>
      <c r="K241" s="4" t="s">
        <v>175</v>
      </c>
      <c r="L241" s="16">
        <v>50000</v>
      </c>
    </row>
    <row r="242" spans="1:12" x14ac:dyDescent="0.3">
      <c r="A242" s="12">
        <v>241</v>
      </c>
      <c r="B242" s="12">
        <v>241</v>
      </c>
      <c r="C242" s="1">
        <v>3388</v>
      </c>
      <c r="D242" s="1">
        <f t="shared" si="3"/>
        <v>2916050</v>
      </c>
      <c r="E242" s="1">
        <v>218750</v>
      </c>
      <c r="F242" s="1" t="s">
        <v>170</v>
      </c>
      <c r="G242" s="4">
        <v>0.05</v>
      </c>
      <c r="H242" s="1">
        <v>218750</v>
      </c>
      <c r="I242" s="1" t="s">
        <v>170</v>
      </c>
      <c r="J242" s="4">
        <v>0.05</v>
      </c>
      <c r="K242" s="4" t="s">
        <v>175</v>
      </c>
      <c r="L242" s="16">
        <v>25000</v>
      </c>
    </row>
    <row r="243" spans="1:12" x14ac:dyDescent="0.3">
      <c r="A243" s="12">
        <v>242</v>
      </c>
      <c r="B243" s="12">
        <v>242</v>
      </c>
      <c r="C243" s="1">
        <v>3402</v>
      </c>
      <c r="D243" s="1">
        <f t="shared" si="3"/>
        <v>2940250</v>
      </c>
      <c r="E243" s="1">
        <v>220565</v>
      </c>
      <c r="F243" s="1" t="s">
        <v>170</v>
      </c>
      <c r="G243" s="4">
        <v>0.05</v>
      </c>
      <c r="H243" s="1">
        <v>220565</v>
      </c>
      <c r="I243" s="1" t="s">
        <v>170</v>
      </c>
      <c r="J243" s="4">
        <v>0.05</v>
      </c>
      <c r="K243" s="4" t="s">
        <v>175</v>
      </c>
      <c r="L243" s="16">
        <v>25100</v>
      </c>
    </row>
    <row r="244" spans="1:12" x14ac:dyDescent="0.3">
      <c r="A244" s="12">
        <v>243</v>
      </c>
      <c r="B244" s="12">
        <v>243</v>
      </c>
      <c r="C244" s="1">
        <v>3416</v>
      </c>
      <c r="D244" s="1">
        <f t="shared" si="3"/>
        <v>2964550</v>
      </c>
      <c r="E244" s="1">
        <v>222387</v>
      </c>
      <c r="F244" s="1" t="s">
        <v>170</v>
      </c>
      <c r="G244" s="4">
        <v>0.05</v>
      </c>
      <c r="H244" s="1">
        <v>222387</v>
      </c>
      <c r="I244" s="1" t="s">
        <v>170</v>
      </c>
      <c r="J244" s="4">
        <v>0.05</v>
      </c>
      <c r="K244" s="4" t="s">
        <v>175</v>
      </c>
      <c r="L244" s="16">
        <v>25200</v>
      </c>
    </row>
    <row r="245" spans="1:12" x14ac:dyDescent="0.3">
      <c r="A245" s="12">
        <v>244</v>
      </c>
      <c r="B245" s="12">
        <v>244</v>
      </c>
      <c r="C245" s="1">
        <v>3430</v>
      </c>
      <c r="D245" s="1">
        <f t="shared" si="3"/>
        <v>2988950</v>
      </c>
      <c r="E245" s="1">
        <v>224217</v>
      </c>
      <c r="F245" s="1" t="s">
        <v>170</v>
      </c>
      <c r="G245" s="4">
        <v>0.05</v>
      </c>
      <c r="H245" s="1">
        <v>224217</v>
      </c>
      <c r="I245" s="1" t="s">
        <v>170</v>
      </c>
      <c r="J245" s="4">
        <v>0.05</v>
      </c>
      <c r="K245" s="4" t="s">
        <v>175</v>
      </c>
      <c r="L245" s="16">
        <v>25300</v>
      </c>
    </row>
    <row r="246" spans="1:12" x14ac:dyDescent="0.3">
      <c r="A246" s="12">
        <v>245</v>
      </c>
      <c r="B246" s="12">
        <v>245</v>
      </c>
      <c r="C246" s="1">
        <v>3444</v>
      </c>
      <c r="D246" s="1">
        <f t="shared" si="3"/>
        <v>3013450</v>
      </c>
      <c r="E246" s="1">
        <v>226055</v>
      </c>
      <c r="F246" s="1" t="s">
        <v>170</v>
      </c>
      <c r="G246" s="4">
        <v>0.05</v>
      </c>
      <c r="H246" s="1">
        <v>226055</v>
      </c>
      <c r="I246" s="1" t="s">
        <v>170</v>
      </c>
      <c r="J246" s="4">
        <v>0.05</v>
      </c>
      <c r="K246" s="4" t="s">
        <v>175</v>
      </c>
      <c r="L246" s="16">
        <v>25400</v>
      </c>
    </row>
    <row r="247" spans="1:12" x14ac:dyDescent="0.3">
      <c r="A247" s="12">
        <v>246</v>
      </c>
      <c r="B247" s="12">
        <v>246</v>
      </c>
      <c r="C247" s="1">
        <v>3458</v>
      </c>
      <c r="D247" s="1">
        <f t="shared" si="3"/>
        <v>3038050</v>
      </c>
      <c r="E247" s="1">
        <v>227900</v>
      </c>
      <c r="F247" s="1" t="s">
        <v>170</v>
      </c>
      <c r="G247" s="4">
        <v>0.05</v>
      </c>
      <c r="H247" s="1">
        <v>227900</v>
      </c>
      <c r="I247" s="1" t="s">
        <v>170</v>
      </c>
      <c r="J247" s="4">
        <v>0.05</v>
      </c>
      <c r="K247" s="4" t="s">
        <v>175</v>
      </c>
      <c r="L247" s="16">
        <v>25500</v>
      </c>
    </row>
    <row r="248" spans="1:12" x14ac:dyDescent="0.3">
      <c r="A248" s="12">
        <v>247</v>
      </c>
      <c r="B248" s="12">
        <v>247</v>
      </c>
      <c r="C248" s="1">
        <v>3472</v>
      </c>
      <c r="D248" s="1">
        <f t="shared" si="3"/>
        <v>3062750</v>
      </c>
      <c r="E248" s="1">
        <v>229752</v>
      </c>
      <c r="F248" s="1" t="s">
        <v>170</v>
      </c>
      <c r="G248" s="4">
        <v>0.05</v>
      </c>
      <c r="H248" s="1">
        <v>229752</v>
      </c>
      <c r="I248" s="1" t="s">
        <v>170</v>
      </c>
      <c r="J248" s="4">
        <v>0.05</v>
      </c>
      <c r="K248" s="4" t="s">
        <v>175</v>
      </c>
      <c r="L248" s="16">
        <v>25600</v>
      </c>
    </row>
    <row r="249" spans="1:12" x14ac:dyDescent="0.3">
      <c r="A249" s="12">
        <v>248</v>
      </c>
      <c r="B249" s="12">
        <v>248</v>
      </c>
      <c r="C249" s="1">
        <v>3486</v>
      </c>
      <c r="D249" s="1">
        <f t="shared" si="3"/>
        <v>3087550</v>
      </c>
      <c r="E249" s="1">
        <v>231612</v>
      </c>
      <c r="F249" s="1" t="s">
        <v>170</v>
      </c>
      <c r="G249" s="4">
        <v>0.05</v>
      </c>
      <c r="H249" s="1">
        <v>231612</v>
      </c>
      <c r="I249" s="1" t="s">
        <v>170</v>
      </c>
      <c r="J249" s="4">
        <v>0.05</v>
      </c>
      <c r="K249" s="4" t="s">
        <v>175</v>
      </c>
      <c r="L249" s="16">
        <v>25700</v>
      </c>
    </row>
    <row r="250" spans="1:12" x14ac:dyDescent="0.3">
      <c r="A250" s="12">
        <v>249</v>
      </c>
      <c r="B250" s="12">
        <v>249</v>
      </c>
      <c r="C250" s="1">
        <v>3500</v>
      </c>
      <c r="D250" s="1">
        <f t="shared" si="3"/>
        <v>3112450</v>
      </c>
      <c r="E250" s="1">
        <v>233480</v>
      </c>
      <c r="F250" s="1" t="s">
        <v>170</v>
      </c>
      <c r="G250" s="4">
        <v>0.05</v>
      </c>
      <c r="H250" s="1">
        <v>233480</v>
      </c>
      <c r="I250" s="1" t="s">
        <v>170</v>
      </c>
      <c r="J250" s="4">
        <v>0.05</v>
      </c>
      <c r="K250" s="4" t="s">
        <v>175</v>
      </c>
      <c r="L250" s="16">
        <v>25800</v>
      </c>
    </row>
    <row r="251" spans="1:12" x14ac:dyDescent="0.3">
      <c r="A251" s="12">
        <v>250</v>
      </c>
      <c r="B251" s="12">
        <v>250</v>
      </c>
      <c r="C251" s="1">
        <v>3514</v>
      </c>
      <c r="D251" s="1">
        <f t="shared" si="3"/>
        <v>3137450</v>
      </c>
      <c r="E251" s="1">
        <v>235355</v>
      </c>
      <c r="F251" s="1" t="s">
        <v>170</v>
      </c>
      <c r="G251" s="4">
        <v>0.05</v>
      </c>
      <c r="H251" s="1">
        <v>235355</v>
      </c>
      <c r="I251" s="1" t="s">
        <v>170</v>
      </c>
      <c r="J251" s="4">
        <v>0.05</v>
      </c>
      <c r="K251" s="4" t="s">
        <v>175</v>
      </c>
      <c r="L251" s="16">
        <v>25900</v>
      </c>
    </row>
    <row r="252" spans="1:12" x14ac:dyDescent="0.3">
      <c r="A252" s="12">
        <v>251</v>
      </c>
      <c r="B252" s="12">
        <v>251</v>
      </c>
      <c r="C252" s="1">
        <v>3528</v>
      </c>
      <c r="D252" s="1">
        <f t="shared" si="3"/>
        <v>3162550</v>
      </c>
      <c r="E252" s="1">
        <v>237237</v>
      </c>
      <c r="F252" s="1" t="s">
        <v>170</v>
      </c>
      <c r="G252" s="4">
        <v>0.05</v>
      </c>
      <c r="H252" s="1">
        <v>237237</v>
      </c>
      <c r="I252" s="1" t="s">
        <v>170</v>
      </c>
      <c r="J252" s="4">
        <v>0.05</v>
      </c>
      <c r="K252" s="4" t="s">
        <v>175</v>
      </c>
      <c r="L252" s="16">
        <v>26000</v>
      </c>
    </row>
    <row r="253" spans="1:12" x14ac:dyDescent="0.3">
      <c r="A253" s="12">
        <v>252</v>
      </c>
      <c r="B253" s="12">
        <v>252</v>
      </c>
      <c r="C253" s="1">
        <v>3542</v>
      </c>
      <c r="D253" s="1">
        <f t="shared" si="3"/>
        <v>3187750</v>
      </c>
      <c r="E253" s="1">
        <v>239127</v>
      </c>
      <c r="F253" s="1" t="s">
        <v>170</v>
      </c>
      <c r="G253" s="4">
        <v>0.05</v>
      </c>
      <c r="H253" s="1">
        <v>239127</v>
      </c>
      <c r="I253" s="1" t="s">
        <v>170</v>
      </c>
      <c r="J253" s="4">
        <v>0.05</v>
      </c>
      <c r="K253" s="4" t="s">
        <v>175</v>
      </c>
      <c r="L253" s="16">
        <v>26100</v>
      </c>
    </row>
    <row r="254" spans="1:12" x14ac:dyDescent="0.3">
      <c r="A254" s="12">
        <v>253</v>
      </c>
      <c r="B254" s="12">
        <v>253</v>
      </c>
      <c r="C254" s="1">
        <v>3556</v>
      </c>
      <c r="D254" s="1">
        <f t="shared" si="3"/>
        <v>3213050</v>
      </c>
      <c r="E254" s="1">
        <v>241025</v>
      </c>
      <c r="F254" s="1" t="s">
        <v>170</v>
      </c>
      <c r="G254" s="4">
        <v>0.05</v>
      </c>
      <c r="H254" s="1">
        <v>241025</v>
      </c>
      <c r="I254" s="1" t="s">
        <v>170</v>
      </c>
      <c r="J254" s="4">
        <v>0.05</v>
      </c>
      <c r="K254" s="4" t="s">
        <v>175</v>
      </c>
      <c r="L254" s="16">
        <v>26200</v>
      </c>
    </row>
    <row r="255" spans="1:12" x14ac:dyDescent="0.3">
      <c r="A255" s="12">
        <v>254</v>
      </c>
      <c r="B255" s="12">
        <v>254</v>
      </c>
      <c r="C255" s="1">
        <v>3570</v>
      </c>
      <c r="D255" s="1">
        <f t="shared" si="3"/>
        <v>3238450</v>
      </c>
      <c r="E255" s="1">
        <v>242930</v>
      </c>
      <c r="F255" s="1" t="s">
        <v>170</v>
      </c>
      <c r="G255" s="4">
        <v>0.05</v>
      </c>
      <c r="H255" s="1">
        <v>242930</v>
      </c>
      <c r="I255" s="1" t="s">
        <v>170</v>
      </c>
      <c r="J255" s="4">
        <v>0.05</v>
      </c>
      <c r="K255" s="4" t="s">
        <v>175</v>
      </c>
      <c r="L255" s="16">
        <v>26300</v>
      </c>
    </row>
    <row r="256" spans="1:12" x14ac:dyDescent="0.3">
      <c r="A256" s="12">
        <v>255</v>
      </c>
      <c r="B256" s="12">
        <v>255</v>
      </c>
      <c r="C256" s="1">
        <v>3584</v>
      </c>
      <c r="D256" s="1">
        <f t="shared" si="3"/>
        <v>3263950</v>
      </c>
      <c r="E256" s="1">
        <v>244842</v>
      </c>
      <c r="F256" s="1" t="s">
        <v>170</v>
      </c>
      <c r="G256" s="4">
        <v>0.05</v>
      </c>
      <c r="H256" s="1">
        <v>244842</v>
      </c>
      <c r="I256" s="1" t="s">
        <v>170</v>
      </c>
      <c r="J256" s="4">
        <v>0.05</v>
      </c>
      <c r="K256" s="4" t="s">
        <v>175</v>
      </c>
      <c r="L256" s="16">
        <v>26400</v>
      </c>
    </row>
    <row r="257" spans="1:12" x14ac:dyDescent="0.3">
      <c r="A257" s="12">
        <v>256</v>
      </c>
      <c r="B257" s="12">
        <v>256</v>
      </c>
      <c r="C257" s="1">
        <v>3598</v>
      </c>
      <c r="D257" s="1">
        <f t="shared" si="3"/>
        <v>3289550</v>
      </c>
      <c r="E257" s="1">
        <v>246762</v>
      </c>
      <c r="F257" s="1" t="s">
        <v>170</v>
      </c>
      <c r="G257" s="4">
        <v>0.05</v>
      </c>
      <c r="H257" s="1">
        <v>246762</v>
      </c>
      <c r="I257" s="1" t="s">
        <v>170</v>
      </c>
      <c r="J257" s="4">
        <v>0.05</v>
      </c>
      <c r="K257" s="4" t="s">
        <v>175</v>
      </c>
      <c r="L257" s="16">
        <v>26500</v>
      </c>
    </row>
    <row r="258" spans="1:12" x14ac:dyDescent="0.3">
      <c r="A258" s="12">
        <v>257</v>
      </c>
      <c r="B258" s="12">
        <v>257</v>
      </c>
      <c r="C258" s="1">
        <v>3612</v>
      </c>
      <c r="D258" s="1">
        <f t="shared" si="3"/>
        <v>3315250</v>
      </c>
      <c r="E258" s="1">
        <v>248690</v>
      </c>
      <c r="F258" s="1" t="s">
        <v>170</v>
      </c>
      <c r="G258" s="4">
        <v>0.05</v>
      </c>
      <c r="H258" s="1">
        <v>248690</v>
      </c>
      <c r="I258" s="1" t="s">
        <v>170</v>
      </c>
      <c r="J258" s="4">
        <v>0.05</v>
      </c>
      <c r="K258" s="4" t="s">
        <v>175</v>
      </c>
      <c r="L258" s="16">
        <v>26600</v>
      </c>
    </row>
    <row r="259" spans="1:12" x14ac:dyDescent="0.3">
      <c r="A259" s="12">
        <v>258</v>
      </c>
      <c r="B259" s="12">
        <v>258</v>
      </c>
      <c r="C259" s="1">
        <v>3626</v>
      </c>
      <c r="D259" s="1">
        <f t="shared" si="3"/>
        <v>3341050</v>
      </c>
      <c r="E259" s="1">
        <v>250625</v>
      </c>
      <c r="F259" s="1" t="s">
        <v>170</v>
      </c>
      <c r="G259" s="4">
        <v>0.05</v>
      </c>
      <c r="H259" s="1">
        <v>250625</v>
      </c>
      <c r="I259" s="1" t="s">
        <v>170</v>
      </c>
      <c r="J259" s="4">
        <v>0.05</v>
      </c>
      <c r="K259" s="4" t="s">
        <v>175</v>
      </c>
      <c r="L259" s="16">
        <v>26700</v>
      </c>
    </row>
    <row r="260" spans="1:12" x14ac:dyDescent="0.3">
      <c r="A260" s="12">
        <v>259</v>
      </c>
      <c r="B260" s="12">
        <v>259</v>
      </c>
      <c r="C260" s="1">
        <v>3640</v>
      </c>
      <c r="D260" s="1">
        <f t="shared" ref="D260:D302" si="4">$D$2*A260+(D259+(A260*$D$2))</f>
        <v>3366950</v>
      </c>
      <c r="E260" s="1">
        <v>252567</v>
      </c>
      <c r="F260" s="1" t="s">
        <v>170</v>
      </c>
      <c r="G260" s="4">
        <v>0.05</v>
      </c>
      <c r="H260" s="1">
        <v>252567</v>
      </c>
      <c r="I260" s="1" t="s">
        <v>170</v>
      </c>
      <c r="J260" s="4">
        <v>0.05</v>
      </c>
      <c r="K260" s="4" t="s">
        <v>175</v>
      </c>
      <c r="L260" s="16">
        <v>26800</v>
      </c>
    </row>
    <row r="261" spans="1:12" x14ac:dyDescent="0.3">
      <c r="A261" s="13">
        <v>260</v>
      </c>
      <c r="B261" s="13">
        <v>260</v>
      </c>
      <c r="C261" s="1">
        <v>3654</v>
      </c>
      <c r="D261" s="1">
        <f t="shared" si="4"/>
        <v>3392950</v>
      </c>
      <c r="E261" s="1">
        <v>254517</v>
      </c>
      <c r="F261" s="1" t="s">
        <v>170</v>
      </c>
      <c r="G261" s="4">
        <v>0.05</v>
      </c>
      <c r="H261" s="1">
        <v>254517</v>
      </c>
      <c r="I261" s="1" t="s">
        <v>170</v>
      </c>
      <c r="J261" s="4">
        <v>0.05</v>
      </c>
      <c r="K261" s="4" t="s">
        <v>175</v>
      </c>
      <c r="L261" s="16">
        <v>54000</v>
      </c>
    </row>
    <row r="262" spans="1:12" x14ac:dyDescent="0.3">
      <c r="A262" s="12">
        <v>261</v>
      </c>
      <c r="B262" s="12">
        <v>261</v>
      </c>
      <c r="C262" s="1">
        <v>3668</v>
      </c>
      <c r="D262" s="1">
        <f t="shared" si="4"/>
        <v>3419050</v>
      </c>
      <c r="E262" s="1">
        <v>256475</v>
      </c>
      <c r="F262" s="1" t="s">
        <v>170</v>
      </c>
      <c r="G262" s="4">
        <v>0.05</v>
      </c>
      <c r="H262" s="1">
        <v>256475</v>
      </c>
      <c r="I262" s="1" t="s">
        <v>170</v>
      </c>
      <c r="J262" s="4">
        <v>0.05</v>
      </c>
      <c r="K262" s="4" t="s">
        <v>175</v>
      </c>
      <c r="L262" s="16">
        <v>27000</v>
      </c>
    </row>
    <row r="263" spans="1:12" x14ac:dyDescent="0.3">
      <c r="A263" s="12">
        <v>262</v>
      </c>
      <c r="B263" s="12">
        <v>262</v>
      </c>
      <c r="C263" s="1">
        <v>3682</v>
      </c>
      <c r="D263" s="1">
        <f t="shared" si="4"/>
        <v>3445250</v>
      </c>
      <c r="E263" s="1">
        <v>258440</v>
      </c>
      <c r="F263" s="1" t="s">
        <v>170</v>
      </c>
      <c r="G263" s="4">
        <v>0.05</v>
      </c>
      <c r="H263" s="1">
        <v>258440</v>
      </c>
      <c r="I263" s="1" t="s">
        <v>170</v>
      </c>
      <c r="J263" s="4">
        <v>0.05</v>
      </c>
      <c r="K263" s="4" t="s">
        <v>175</v>
      </c>
      <c r="L263" s="16">
        <v>27100</v>
      </c>
    </row>
    <row r="264" spans="1:12" x14ac:dyDescent="0.3">
      <c r="A264" s="12">
        <v>263</v>
      </c>
      <c r="B264" s="12">
        <v>263</v>
      </c>
      <c r="C264" s="1">
        <v>3696</v>
      </c>
      <c r="D264" s="1">
        <f t="shared" si="4"/>
        <v>3471550</v>
      </c>
      <c r="E264" s="1">
        <v>260412</v>
      </c>
      <c r="F264" s="1" t="s">
        <v>170</v>
      </c>
      <c r="G264" s="4">
        <v>0.05</v>
      </c>
      <c r="H264" s="1">
        <v>260412</v>
      </c>
      <c r="I264" s="1" t="s">
        <v>170</v>
      </c>
      <c r="J264" s="4">
        <v>0.05</v>
      </c>
      <c r="K264" s="4" t="s">
        <v>175</v>
      </c>
      <c r="L264" s="16">
        <v>27200</v>
      </c>
    </row>
    <row r="265" spans="1:12" x14ac:dyDescent="0.3">
      <c r="A265" s="12">
        <v>264</v>
      </c>
      <c r="B265" s="12">
        <v>264</v>
      </c>
      <c r="C265" s="1">
        <v>3710</v>
      </c>
      <c r="D265" s="1">
        <f t="shared" si="4"/>
        <v>3497950</v>
      </c>
      <c r="E265" s="1">
        <v>262392</v>
      </c>
      <c r="F265" s="1" t="s">
        <v>170</v>
      </c>
      <c r="G265" s="4">
        <v>0.05</v>
      </c>
      <c r="H265" s="1">
        <v>262392</v>
      </c>
      <c r="I265" s="1" t="s">
        <v>170</v>
      </c>
      <c r="J265" s="4">
        <v>0.05</v>
      </c>
      <c r="K265" s="4" t="s">
        <v>175</v>
      </c>
      <c r="L265" s="16">
        <v>27300</v>
      </c>
    </row>
    <row r="266" spans="1:12" x14ac:dyDescent="0.3">
      <c r="A266" s="12">
        <v>265</v>
      </c>
      <c r="B266" s="12">
        <v>265</v>
      </c>
      <c r="C266" s="1">
        <v>3724</v>
      </c>
      <c r="D266" s="1">
        <f t="shared" si="4"/>
        <v>3524450</v>
      </c>
      <c r="E266" s="1">
        <v>264380</v>
      </c>
      <c r="F266" s="1" t="s">
        <v>170</v>
      </c>
      <c r="G266" s="4">
        <v>0.05</v>
      </c>
      <c r="H266" s="1">
        <v>264380</v>
      </c>
      <c r="I266" s="1" t="s">
        <v>170</v>
      </c>
      <c r="J266" s="4">
        <v>0.05</v>
      </c>
      <c r="K266" s="4" t="s">
        <v>175</v>
      </c>
      <c r="L266" s="16">
        <v>27400</v>
      </c>
    </row>
    <row r="267" spans="1:12" x14ac:dyDescent="0.3">
      <c r="A267" s="12">
        <v>266</v>
      </c>
      <c r="B267" s="12">
        <v>266</v>
      </c>
      <c r="C267" s="1">
        <v>3738</v>
      </c>
      <c r="D267" s="1">
        <f t="shared" si="4"/>
        <v>3551050</v>
      </c>
      <c r="E267" s="1">
        <v>266375</v>
      </c>
      <c r="F267" s="1" t="s">
        <v>170</v>
      </c>
      <c r="G267" s="4">
        <v>0.05</v>
      </c>
      <c r="H267" s="1">
        <v>266375</v>
      </c>
      <c r="I267" s="1" t="s">
        <v>170</v>
      </c>
      <c r="J267" s="4">
        <v>0.05</v>
      </c>
      <c r="K267" s="4" t="s">
        <v>175</v>
      </c>
      <c r="L267" s="16">
        <v>27500</v>
      </c>
    </row>
    <row r="268" spans="1:12" x14ac:dyDescent="0.3">
      <c r="A268" s="12">
        <v>267</v>
      </c>
      <c r="B268" s="12">
        <v>267</v>
      </c>
      <c r="C268" s="1">
        <v>3752</v>
      </c>
      <c r="D268" s="1">
        <f t="shared" si="4"/>
        <v>3577750</v>
      </c>
      <c r="E268" s="1">
        <v>268377</v>
      </c>
      <c r="F268" s="1" t="s">
        <v>170</v>
      </c>
      <c r="G268" s="4">
        <v>0.05</v>
      </c>
      <c r="H268" s="1">
        <v>268377</v>
      </c>
      <c r="I268" s="1" t="s">
        <v>170</v>
      </c>
      <c r="J268" s="4">
        <v>0.05</v>
      </c>
      <c r="K268" s="4" t="s">
        <v>175</v>
      </c>
      <c r="L268" s="16">
        <v>27600</v>
      </c>
    </row>
    <row r="269" spans="1:12" x14ac:dyDescent="0.3">
      <c r="A269" s="12">
        <v>268</v>
      </c>
      <c r="B269" s="12">
        <v>268</v>
      </c>
      <c r="C269" s="1">
        <v>3766</v>
      </c>
      <c r="D269" s="1">
        <f t="shared" si="4"/>
        <v>3604550</v>
      </c>
      <c r="E269" s="1">
        <v>270387</v>
      </c>
      <c r="F269" s="1" t="s">
        <v>170</v>
      </c>
      <c r="G269" s="4">
        <v>0.05</v>
      </c>
      <c r="H269" s="1">
        <v>270387</v>
      </c>
      <c r="I269" s="1" t="s">
        <v>170</v>
      </c>
      <c r="J269" s="4">
        <v>0.05</v>
      </c>
      <c r="K269" s="4" t="s">
        <v>175</v>
      </c>
      <c r="L269" s="16">
        <v>27700</v>
      </c>
    </row>
    <row r="270" spans="1:12" x14ac:dyDescent="0.3">
      <c r="A270" s="12">
        <v>269</v>
      </c>
      <c r="B270" s="12">
        <v>269</v>
      </c>
      <c r="C270" s="1">
        <v>3780</v>
      </c>
      <c r="D270" s="1">
        <f t="shared" si="4"/>
        <v>3631450</v>
      </c>
      <c r="E270" s="1">
        <v>272405</v>
      </c>
      <c r="F270" s="1" t="s">
        <v>170</v>
      </c>
      <c r="G270" s="4">
        <v>0.05</v>
      </c>
      <c r="H270" s="1">
        <v>272405</v>
      </c>
      <c r="I270" s="1" t="s">
        <v>170</v>
      </c>
      <c r="J270" s="4">
        <v>0.05</v>
      </c>
      <c r="K270" s="4" t="s">
        <v>175</v>
      </c>
      <c r="L270" s="16">
        <v>27800</v>
      </c>
    </row>
    <row r="271" spans="1:12" x14ac:dyDescent="0.3">
      <c r="A271" s="12">
        <v>270</v>
      </c>
      <c r="B271" s="12">
        <v>270</v>
      </c>
      <c r="C271" s="1">
        <v>3794</v>
      </c>
      <c r="D271" s="1">
        <f t="shared" si="4"/>
        <v>3658450</v>
      </c>
      <c r="E271" s="1">
        <v>274430</v>
      </c>
      <c r="F271" s="1" t="s">
        <v>170</v>
      </c>
      <c r="G271" s="4">
        <v>0.05</v>
      </c>
      <c r="H271" s="1">
        <v>274430</v>
      </c>
      <c r="I271" s="1" t="s">
        <v>170</v>
      </c>
      <c r="J271" s="4">
        <v>0.05</v>
      </c>
      <c r="K271" s="4" t="s">
        <v>175</v>
      </c>
      <c r="L271" s="16">
        <v>27900</v>
      </c>
    </row>
    <row r="272" spans="1:12" x14ac:dyDescent="0.3">
      <c r="A272" s="12">
        <v>271</v>
      </c>
      <c r="B272" s="12">
        <v>271</v>
      </c>
      <c r="C272" s="1">
        <v>3808</v>
      </c>
      <c r="D272" s="1">
        <f t="shared" si="4"/>
        <v>3685550</v>
      </c>
      <c r="E272" s="1">
        <v>276462</v>
      </c>
      <c r="F272" s="1" t="s">
        <v>170</v>
      </c>
      <c r="G272" s="4">
        <v>0.05</v>
      </c>
      <c r="H272" s="1">
        <v>276462</v>
      </c>
      <c r="I272" s="1" t="s">
        <v>170</v>
      </c>
      <c r="J272" s="4">
        <v>0.05</v>
      </c>
      <c r="K272" s="4" t="s">
        <v>175</v>
      </c>
      <c r="L272" s="16">
        <v>28000</v>
      </c>
    </row>
    <row r="273" spans="1:12" x14ac:dyDescent="0.3">
      <c r="A273" s="12">
        <v>272</v>
      </c>
      <c r="B273" s="12">
        <v>272</v>
      </c>
      <c r="C273" s="1">
        <v>3822</v>
      </c>
      <c r="D273" s="1">
        <f t="shared" si="4"/>
        <v>3712750</v>
      </c>
      <c r="E273" s="1">
        <v>278502</v>
      </c>
      <c r="F273" s="1" t="s">
        <v>170</v>
      </c>
      <c r="G273" s="4">
        <v>0.05</v>
      </c>
      <c r="H273" s="1">
        <v>278502</v>
      </c>
      <c r="I273" s="1" t="s">
        <v>170</v>
      </c>
      <c r="J273" s="4">
        <v>0.05</v>
      </c>
      <c r="K273" s="4" t="s">
        <v>175</v>
      </c>
      <c r="L273" s="16">
        <v>28100</v>
      </c>
    </row>
    <row r="274" spans="1:12" x14ac:dyDescent="0.3">
      <c r="A274" s="12">
        <v>273</v>
      </c>
      <c r="B274" s="12">
        <v>273</v>
      </c>
      <c r="C274" s="1">
        <v>3836</v>
      </c>
      <c r="D274" s="1">
        <f t="shared" si="4"/>
        <v>3740050</v>
      </c>
      <c r="E274" s="1">
        <v>280550</v>
      </c>
      <c r="F274" s="1" t="s">
        <v>170</v>
      </c>
      <c r="G274" s="4">
        <v>0.05</v>
      </c>
      <c r="H274" s="1">
        <v>280550</v>
      </c>
      <c r="I274" s="1" t="s">
        <v>170</v>
      </c>
      <c r="J274" s="4">
        <v>0.05</v>
      </c>
      <c r="K274" s="4" t="s">
        <v>175</v>
      </c>
      <c r="L274" s="16">
        <v>28200</v>
      </c>
    </row>
    <row r="275" spans="1:12" x14ac:dyDescent="0.3">
      <c r="A275" s="12">
        <v>274</v>
      </c>
      <c r="B275" s="12">
        <v>274</v>
      </c>
      <c r="C275" s="1">
        <v>3850</v>
      </c>
      <c r="D275" s="1">
        <f t="shared" si="4"/>
        <v>3767450</v>
      </c>
      <c r="E275" s="1">
        <v>282605</v>
      </c>
      <c r="F275" s="1" t="s">
        <v>170</v>
      </c>
      <c r="G275" s="4">
        <v>0.05</v>
      </c>
      <c r="H275" s="1">
        <v>282605</v>
      </c>
      <c r="I275" s="1" t="s">
        <v>170</v>
      </c>
      <c r="J275" s="4">
        <v>0.05</v>
      </c>
      <c r="K275" s="4" t="s">
        <v>175</v>
      </c>
      <c r="L275" s="16">
        <v>28300</v>
      </c>
    </row>
    <row r="276" spans="1:12" x14ac:dyDescent="0.3">
      <c r="A276" s="12">
        <v>275</v>
      </c>
      <c r="B276" s="12">
        <v>275</v>
      </c>
      <c r="C276" s="1">
        <v>3864</v>
      </c>
      <c r="D276" s="1">
        <f t="shared" si="4"/>
        <v>3794950</v>
      </c>
      <c r="E276" s="1">
        <v>284667</v>
      </c>
      <c r="F276" s="1" t="s">
        <v>170</v>
      </c>
      <c r="G276" s="4">
        <v>0.05</v>
      </c>
      <c r="H276" s="1">
        <v>284667</v>
      </c>
      <c r="I276" s="1" t="s">
        <v>170</v>
      </c>
      <c r="J276" s="4">
        <v>0.05</v>
      </c>
      <c r="K276" s="4" t="s">
        <v>175</v>
      </c>
      <c r="L276" s="16">
        <v>28400</v>
      </c>
    </row>
    <row r="277" spans="1:12" x14ac:dyDescent="0.3">
      <c r="A277" s="12">
        <v>276</v>
      </c>
      <c r="B277" s="12">
        <v>276</v>
      </c>
      <c r="C277" s="1">
        <v>3878</v>
      </c>
      <c r="D277" s="1">
        <f t="shared" si="4"/>
        <v>3822550</v>
      </c>
      <c r="E277" s="1">
        <v>286737</v>
      </c>
      <c r="F277" s="1" t="s">
        <v>170</v>
      </c>
      <c r="G277" s="4">
        <v>0.05</v>
      </c>
      <c r="H277" s="1">
        <v>286737</v>
      </c>
      <c r="I277" s="1" t="s">
        <v>170</v>
      </c>
      <c r="J277" s="4">
        <v>0.05</v>
      </c>
      <c r="K277" s="4" t="s">
        <v>175</v>
      </c>
      <c r="L277" s="16">
        <v>28500</v>
      </c>
    </row>
    <row r="278" spans="1:12" x14ac:dyDescent="0.3">
      <c r="A278" s="12">
        <v>277</v>
      </c>
      <c r="B278" s="12">
        <v>277</v>
      </c>
      <c r="C278" s="1">
        <v>3892</v>
      </c>
      <c r="D278" s="1">
        <f t="shared" si="4"/>
        <v>3850250</v>
      </c>
      <c r="E278" s="1">
        <v>288815</v>
      </c>
      <c r="F278" s="1" t="s">
        <v>170</v>
      </c>
      <c r="G278" s="4">
        <v>0.05</v>
      </c>
      <c r="H278" s="1">
        <v>288815</v>
      </c>
      <c r="I278" s="1" t="s">
        <v>170</v>
      </c>
      <c r="J278" s="4">
        <v>0.05</v>
      </c>
      <c r="K278" s="4" t="s">
        <v>175</v>
      </c>
      <c r="L278" s="16">
        <v>28600</v>
      </c>
    </row>
    <row r="279" spans="1:12" x14ac:dyDescent="0.3">
      <c r="A279" s="12">
        <v>278</v>
      </c>
      <c r="B279" s="12">
        <v>278</v>
      </c>
      <c r="C279" s="1">
        <v>3906</v>
      </c>
      <c r="D279" s="1">
        <f t="shared" si="4"/>
        <v>3878050</v>
      </c>
      <c r="E279" s="1">
        <v>290900</v>
      </c>
      <c r="F279" s="1" t="s">
        <v>170</v>
      </c>
      <c r="G279" s="4">
        <v>0.05</v>
      </c>
      <c r="H279" s="1">
        <v>290900</v>
      </c>
      <c r="I279" s="1" t="s">
        <v>170</v>
      </c>
      <c r="J279" s="4">
        <v>0.05</v>
      </c>
      <c r="K279" s="4" t="s">
        <v>175</v>
      </c>
      <c r="L279" s="16">
        <v>28700</v>
      </c>
    </row>
    <row r="280" spans="1:12" x14ac:dyDescent="0.3">
      <c r="A280" s="12">
        <v>279</v>
      </c>
      <c r="B280" s="12">
        <v>279</v>
      </c>
      <c r="C280" s="1">
        <v>3920</v>
      </c>
      <c r="D280" s="1">
        <f t="shared" si="4"/>
        <v>3905950</v>
      </c>
      <c r="E280" s="1">
        <v>292992</v>
      </c>
      <c r="F280" s="1" t="s">
        <v>170</v>
      </c>
      <c r="G280" s="4">
        <v>0.05</v>
      </c>
      <c r="H280" s="1">
        <v>292992</v>
      </c>
      <c r="I280" s="1" t="s">
        <v>170</v>
      </c>
      <c r="J280" s="4">
        <v>0.05</v>
      </c>
      <c r="K280" s="4" t="s">
        <v>175</v>
      </c>
      <c r="L280" s="16">
        <v>28800</v>
      </c>
    </row>
    <row r="281" spans="1:12" x14ac:dyDescent="0.3">
      <c r="A281" s="13">
        <v>280</v>
      </c>
      <c r="B281" s="13">
        <v>280</v>
      </c>
      <c r="C281" s="1">
        <v>3934</v>
      </c>
      <c r="D281" s="1">
        <f t="shared" si="4"/>
        <v>3933950</v>
      </c>
      <c r="E281" s="1">
        <v>295092</v>
      </c>
      <c r="F281" s="1" t="s">
        <v>170</v>
      </c>
      <c r="G281" s="4">
        <v>0.05</v>
      </c>
      <c r="H281" s="1">
        <v>295092</v>
      </c>
      <c r="I281" s="1" t="s">
        <v>170</v>
      </c>
      <c r="J281" s="4">
        <v>0.05</v>
      </c>
      <c r="K281" s="4" t="s">
        <v>175</v>
      </c>
      <c r="L281" s="16">
        <v>58000</v>
      </c>
    </row>
    <row r="282" spans="1:12" x14ac:dyDescent="0.3">
      <c r="A282" s="12">
        <v>281</v>
      </c>
      <c r="B282" s="12">
        <v>281</v>
      </c>
      <c r="C282" s="1">
        <v>3948</v>
      </c>
      <c r="D282" s="1">
        <f t="shared" si="4"/>
        <v>3962050</v>
      </c>
      <c r="E282" s="1">
        <v>297200</v>
      </c>
      <c r="F282" s="1" t="s">
        <v>170</v>
      </c>
      <c r="G282" s="4">
        <v>0.05</v>
      </c>
      <c r="H282" s="1">
        <v>297200</v>
      </c>
      <c r="I282" s="1" t="s">
        <v>170</v>
      </c>
      <c r="J282" s="4">
        <v>0.05</v>
      </c>
      <c r="K282" s="4" t="s">
        <v>175</v>
      </c>
      <c r="L282" s="16">
        <v>29000</v>
      </c>
    </row>
    <row r="283" spans="1:12" x14ac:dyDescent="0.3">
      <c r="A283" s="12">
        <v>282</v>
      </c>
      <c r="B283" s="12">
        <v>282</v>
      </c>
      <c r="C283" s="1">
        <v>3962</v>
      </c>
      <c r="D283" s="1">
        <f t="shared" si="4"/>
        <v>3990250</v>
      </c>
      <c r="E283" s="1">
        <v>299315</v>
      </c>
      <c r="F283" s="1" t="s">
        <v>170</v>
      </c>
      <c r="G283" s="4">
        <v>0.05</v>
      </c>
      <c r="H283" s="1">
        <v>299315</v>
      </c>
      <c r="I283" s="1" t="s">
        <v>170</v>
      </c>
      <c r="J283" s="4">
        <v>0.05</v>
      </c>
      <c r="K283" s="4" t="s">
        <v>175</v>
      </c>
      <c r="L283" s="16">
        <v>29100</v>
      </c>
    </row>
    <row r="284" spans="1:12" x14ac:dyDescent="0.3">
      <c r="A284" s="12">
        <v>283</v>
      </c>
      <c r="B284" s="12">
        <v>283</v>
      </c>
      <c r="C284" s="1">
        <v>3976</v>
      </c>
      <c r="D284" s="1">
        <f t="shared" si="4"/>
        <v>4018550</v>
      </c>
      <c r="E284" s="1">
        <v>301437</v>
      </c>
      <c r="F284" s="1" t="s">
        <v>170</v>
      </c>
      <c r="G284" s="4">
        <v>0.05</v>
      </c>
      <c r="H284" s="1">
        <v>301437</v>
      </c>
      <c r="I284" s="1" t="s">
        <v>170</v>
      </c>
      <c r="J284" s="4">
        <v>0.05</v>
      </c>
      <c r="K284" s="4" t="s">
        <v>175</v>
      </c>
      <c r="L284" s="16">
        <v>29200</v>
      </c>
    </row>
    <row r="285" spans="1:12" x14ac:dyDescent="0.3">
      <c r="A285" s="12">
        <v>284</v>
      </c>
      <c r="B285" s="12">
        <v>284</v>
      </c>
      <c r="C285" s="1">
        <v>3990</v>
      </c>
      <c r="D285" s="1">
        <f t="shared" si="4"/>
        <v>4046950</v>
      </c>
      <c r="E285" s="1">
        <v>303567</v>
      </c>
      <c r="F285" s="1" t="s">
        <v>170</v>
      </c>
      <c r="G285" s="4">
        <v>0.05</v>
      </c>
      <c r="H285" s="1">
        <v>303567</v>
      </c>
      <c r="I285" s="1" t="s">
        <v>170</v>
      </c>
      <c r="J285" s="4">
        <v>0.05</v>
      </c>
      <c r="K285" s="4" t="s">
        <v>175</v>
      </c>
      <c r="L285" s="16">
        <v>29300</v>
      </c>
    </row>
    <row r="286" spans="1:12" x14ac:dyDescent="0.3">
      <c r="A286" s="12">
        <v>285</v>
      </c>
      <c r="B286" s="12">
        <v>285</v>
      </c>
      <c r="C286" s="1">
        <v>4004</v>
      </c>
      <c r="D286" s="1">
        <f t="shared" si="4"/>
        <v>4075450</v>
      </c>
      <c r="E286" s="1">
        <v>305705</v>
      </c>
      <c r="F286" s="1" t="s">
        <v>170</v>
      </c>
      <c r="G286" s="4">
        <v>0.05</v>
      </c>
      <c r="H286" s="1">
        <v>305705</v>
      </c>
      <c r="I286" s="1" t="s">
        <v>170</v>
      </c>
      <c r="J286" s="4">
        <v>0.05</v>
      </c>
      <c r="K286" s="4" t="s">
        <v>175</v>
      </c>
      <c r="L286" s="16">
        <v>29400</v>
      </c>
    </row>
    <row r="287" spans="1:12" x14ac:dyDescent="0.3">
      <c r="A287" s="12">
        <v>286</v>
      </c>
      <c r="B287" s="12">
        <v>286</v>
      </c>
      <c r="C287" s="1">
        <v>4018</v>
      </c>
      <c r="D287" s="1">
        <f t="shared" si="4"/>
        <v>4104050</v>
      </c>
      <c r="E287" s="1">
        <v>307850</v>
      </c>
      <c r="F287" s="1" t="s">
        <v>170</v>
      </c>
      <c r="G287" s="4">
        <v>0.05</v>
      </c>
      <c r="H287" s="1">
        <v>307850</v>
      </c>
      <c r="I287" s="1" t="s">
        <v>170</v>
      </c>
      <c r="J287" s="4">
        <v>0.05</v>
      </c>
      <c r="K287" s="4" t="s">
        <v>175</v>
      </c>
      <c r="L287" s="16">
        <v>29500</v>
      </c>
    </row>
    <row r="288" spans="1:12" x14ac:dyDescent="0.3">
      <c r="A288" s="12">
        <v>287</v>
      </c>
      <c r="B288" s="12">
        <v>287</v>
      </c>
      <c r="C288" s="1">
        <v>4032</v>
      </c>
      <c r="D288" s="1">
        <f t="shared" si="4"/>
        <v>4132750</v>
      </c>
      <c r="E288" s="1">
        <v>310002</v>
      </c>
      <c r="F288" s="1" t="s">
        <v>170</v>
      </c>
      <c r="G288" s="4">
        <v>0.05</v>
      </c>
      <c r="H288" s="1">
        <v>310002</v>
      </c>
      <c r="I288" s="1" t="s">
        <v>170</v>
      </c>
      <c r="J288" s="4">
        <v>0.05</v>
      </c>
      <c r="K288" s="4" t="s">
        <v>175</v>
      </c>
      <c r="L288" s="16">
        <v>29600</v>
      </c>
    </row>
    <row r="289" spans="1:12" x14ac:dyDescent="0.3">
      <c r="A289" s="12">
        <v>288</v>
      </c>
      <c r="B289" s="12">
        <v>288</v>
      </c>
      <c r="C289" s="1">
        <v>4046</v>
      </c>
      <c r="D289" s="1">
        <f t="shared" si="4"/>
        <v>4161550</v>
      </c>
      <c r="E289" s="1">
        <v>312162</v>
      </c>
      <c r="F289" s="1" t="s">
        <v>170</v>
      </c>
      <c r="G289" s="4">
        <v>0.05</v>
      </c>
      <c r="H289" s="1">
        <v>312162</v>
      </c>
      <c r="I289" s="1" t="s">
        <v>170</v>
      </c>
      <c r="J289" s="4">
        <v>0.05</v>
      </c>
      <c r="K289" s="4" t="s">
        <v>175</v>
      </c>
      <c r="L289" s="16">
        <v>29700</v>
      </c>
    </row>
    <row r="290" spans="1:12" x14ac:dyDescent="0.3">
      <c r="A290" s="12">
        <v>289</v>
      </c>
      <c r="B290" s="12">
        <v>289</v>
      </c>
      <c r="C290" s="1">
        <v>4060</v>
      </c>
      <c r="D290" s="1">
        <f t="shared" si="4"/>
        <v>4190450</v>
      </c>
      <c r="E290" s="1">
        <v>314330</v>
      </c>
      <c r="F290" s="1" t="s">
        <v>170</v>
      </c>
      <c r="G290" s="4">
        <v>0.05</v>
      </c>
      <c r="H290" s="1">
        <v>314330</v>
      </c>
      <c r="I290" s="1" t="s">
        <v>170</v>
      </c>
      <c r="J290" s="4">
        <v>0.05</v>
      </c>
      <c r="K290" s="4" t="s">
        <v>175</v>
      </c>
      <c r="L290" s="16">
        <v>29800</v>
      </c>
    </row>
    <row r="291" spans="1:12" x14ac:dyDescent="0.3">
      <c r="A291" s="12">
        <v>290</v>
      </c>
      <c r="B291" s="12">
        <v>290</v>
      </c>
      <c r="C291" s="1">
        <v>4074</v>
      </c>
      <c r="D291" s="1">
        <f t="shared" si="4"/>
        <v>4219450</v>
      </c>
      <c r="E291" s="1">
        <v>316505</v>
      </c>
      <c r="F291" s="1" t="s">
        <v>170</v>
      </c>
      <c r="G291" s="4">
        <v>0.05</v>
      </c>
      <c r="H291" s="1">
        <v>316505</v>
      </c>
      <c r="I291" s="1" t="s">
        <v>170</v>
      </c>
      <c r="J291" s="4">
        <v>0.05</v>
      </c>
      <c r="K291" s="4" t="s">
        <v>175</v>
      </c>
      <c r="L291" s="16">
        <v>29900</v>
      </c>
    </row>
    <row r="292" spans="1:12" x14ac:dyDescent="0.3">
      <c r="A292" s="12">
        <v>291</v>
      </c>
      <c r="B292" s="12">
        <v>291</v>
      </c>
      <c r="C292" s="1">
        <v>4088</v>
      </c>
      <c r="D292" s="1">
        <f t="shared" si="4"/>
        <v>4248550</v>
      </c>
      <c r="E292" s="1">
        <v>318687</v>
      </c>
      <c r="F292" s="1" t="s">
        <v>170</v>
      </c>
      <c r="G292" s="4">
        <v>0.05</v>
      </c>
      <c r="H292" s="1">
        <v>318687</v>
      </c>
      <c r="I292" s="1" t="s">
        <v>170</v>
      </c>
      <c r="J292" s="4">
        <v>0.05</v>
      </c>
      <c r="K292" s="4" t="s">
        <v>175</v>
      </c>
      <c r="L292" s="16">
        <v>30000</v>
      </c>
    </row>
    <row r="293" spans="1:12" x14ac:dyDescent="0.3">
      <c r="A293" s="12">
        <v>292</v>
      </c>
      <c r="B293" s="12">
        <v>292</v>
      </c>
      <c r="C293" s="1">
        <v>4102</v>
      </c>
      <c r="D293" s="1">
        <f t="shared" si="4"/>
        <v>4277750</v>
      </c>
      <c r="E293" s="1">
        <v>320877</v>
      </c>
      <c r="F293" s="1" t="s">
        <v>170</v>
      </c>
      <c r="G293" s="4">
        <v>0.05</v>
      </c>
      <c r="H293" s="1">
        <v>320877</v>
      </c>
      <c r="I293" s="1" t="s">
        <v>170</v>
      </c>
      <c r="J293" s="4">
        <v>0.05</v>
      </c>
      <c r="K293" s="4" t="s">
        <v>175</v>
      </c>
      <c r="L293" s="16">
        <v>30100</v>
      </c>
    </row>
    <row r="294" spans="1:12" x14ac:dyDescent="0.3">
      <c r="A294" s="12">
        <v>293</v>
      </c>
      <c r="B294" s="12">
        <v>293</v>
      </c>
      <c r="C294" s="1">
        <v>4116</v>
      </c>
      <c r="D294" s="1">
        <f t="shared" si="4"/>
        <v>4307050</v>
      </c>
      <c r="E294" s="1">
        <v>323075</v>
      </c>
      <c r="F294" s="1" t="s">
        <v>170</v>
      </c>
      <c r="G294" s="4">
        <v>0.05</v>
      </c>
      <c r="H294" s="1">
        <v>323075</v>
      </c>
      <c r="I294" s="1" t="s">
        <v>170</v>
      </c>
      <c r="J294" s="4">
        <v>0.05</v>
      </c>
      <c r="K294" s="4" t="s">
        <v>175</v>
      </c>
      <c r="L294" s="16">
        <v>30200</v>
      </c>
    </row>
    <row r="295" spans="1:12" x14ac:dyDescent="0.3">
      <c r="A295" s="12">
        <v>294</v>
      </c>
      <c r="B295" s="12">
        <v>294</v>
      </c>
      <c r="C295" s="1">
        <v>4130</v>
      </c>
      <c r="D295" s="1">
        <f t="shared" si="4"/>
        <v>4336450</v>
      </c>
      <c r="E295" s="1">
        <v>325280</v>
      </c>
      <c r="F295" s="1" t="s">
        <v>170</v>
      </c>
      <c r="G295" s="4">
        <v>0.05</v>
      </c>
      <c r="H295" s="1">
        <v>325280</v>
      </c>
      <c r="I295" s="1" t="s">
        <v>170</v>
      </c>
      <c r="J295" s="4">
        <v>0.05</v>
      </c>
      <c r="K295" s="4" t="s">
        <v>175</v>
      </c>
      <c r="L295" s="16">
        <v>30300</v>
      </c>
    </row>
    <row r="296" spans="1:12" x14ac:dyDescent="0.3">
      <c r="A296" s="12">
        <v>295</v>
      </c>
      <c r="B296" s="12">
        <v>295</v>
      </c>
      <c r="C296" s="1">
        <v>4144</v>
      </c>
      <c r="D296" s="1">
        <f t="shared" si="4"/>
        <v>4365950</v>
      </c>
      <c r="E296" s="1">
        <v>327492</v>
      </c>
      <c r="F296" s="1" t="s">
        <v>170</v>
      </c>
      <c r="G296" s="4">
        <v>0.05</v>
      </c>
      <c r="H296" s="1">
        <v>327492</v>
      </c>
      <c r="I296" s="1" t="s">
        <v>170</v>
      </c>
      <c r="J296" s="4">
        <v>0.05</v>
      </c>
      <c r="K296" s="4" t="s">
        <v>175</v>
      </c>
      <c r="L296" s="16">
        <v>30400</v>
      </c>
    </row>
    <row r="297" spans="1:12" x14ac:dyDescent="0.3">
      <c r="A297" s="12">
        <v>296</v>
      </c>
      <c r="B297" s="12">
        <v>296</v>
      </c>
      <c r="C297" s="1">
        <v>4158</v>
      </c>
      <c r="D297" s="1">
        <f t="shared" si="4"/>
        <v>4395550</v>
      </c>
      <c r="E297" s="1">
        <v>329712</v>
      </c>
      <c r="F297" s="1" t="s">
        <v>170</v>
      </c>
      <c r="G297" s="4">
        <v>0.05</v>
      </c>
      <c r="H297" s="1">
        <v>329712</v>
      </c>
      <c r="I297" s="1" t="s">
        <v>170</v>
      </c>
      <c r="J297" s="4">
        <v>0.05</v>
      </c>
      <c r="K297" s="4" t="s">
        <v>175</v>
      </c>
      <c r="L297" s="16">
        <v>30500</v>
      </c>
    </row>
    <row r="298" spans="1:12" x14ac:dyDescent="0.3">
      <c r="A298" s="12">
        <v>297</v>
      </c>
      <c r="B298" s="12">
        <v>297</v>
      </c>
      <c r="C298" s="1">
        <v>4172</v>
      </c>
      <c r="D298" s="1">
        <f t="shared" si="4"/>
        <v>4425250</v>
      </c>
      <c r="E298" s="1">
        <v>331940</v>
      </c>
      <c r="F298" s="1" t="s">
        <v>170</v>
      </c>
      <c r="G298" s="4">
        <v>0.05</v>
      </c>
      <c r="H298" s="1">
        <v>331940</v>
      </c>
      <c r="I298" s="1" t="s">
        <v>170</v>
      </c>
      <c r="J298" s="4">
        <v>0.05</v>
      </c>
      <c r="K298" s="4" t="s">
        <v>175</v>
      </c>
      <c r="L298" s="16">
        <v>30600</v>
      </c>
    </row>
    <row r="299" spans="1:12" x14ac:dyDescent="0.3">
      <c r="A299" s="12">
        <v>298</v>
      </c>
      <c r="B299" s="12">
        <v>298</v>
      </c>
      <c r="C299" s="1">
        <v>4186</v>
      </c>
      <c r="D299" s="1">
        <f t="shared" si="4"/>
        <v>4455050</v>
      </c>
      <c r="E299" s="1">
        <v>334175</v>
      </c>
      <c r="F299" s="1" t="s">
        <v>170</v>
      </c>
      <c r="G299" s="4">
        <v>0.05</v>
      </c>
      <c r="H299" s="1">
        <v>334175</v>
      </c>
      <c r="I299" s="1" t="s">
        <v>170</v>
      </c>
      <c r="J299" s="4">
        <v>0.05</v>
      </c>
      <c r="K299" s="4" t="s">
        <v>175</v>
      </c>
      <c r="L299" s="16">
        <v>30700</v>
      </c>
    </row>
    <row r="300" spans="1:12" x14ac:dyDescent="0.3">
      <c r="A300" s="12">
        <v>299</v>
      </c>
      <c r="B300" s="12">
        <v>299</v>
      </c>
      <c r="C300" s="1">
        <v>4200</v>
      </c>
      <c r="D300" s="1">
        <f t="shared" si="4"/>
        <v>4484950</v>
      </c>
      <c r="E300" s="1">
        <v>336417</v>
      </c>
      <c r="F300" s="1" t="s">
        <v>170</v>
      </c>
      <c r="G300" s="4">
        <v>0.05</v>
      </c>
      <c r="H300" s="1">
        <v>336417</v>
      </c>
      <c r="I300" s="1" t="s">
        <v>170</v>
      </c>
      <c r="J300" s="4">
        <v>0.05</v>
      </c>
      <c r="K300" s="4" t="s">
        <v>175</v>
      </c>
      <c r="L300" s="16">
        <v>30800</v>
      </c>
    </row>
    <row r="301" spans="1:12" x14ac:dyDescent="0.3">
      <c r="A301" s="13">
        <v>300</v>
      </c>
      <c r="B301" s="13">
        <v>300</v>
      </c>
      <c r="C301" s="1">
        <v>4214</v>
      </c>
      <c r="D301" s="1">
        <f t="shared" si="4"/>
        <v>4514950</v>
      </c>
      <c r="E301" s="1">
        <v>338667</v>
      </c>
      <c r="F301" s="1" t="s">
        <v>170</v>
      </c>
      <c r="G301" s="4">
        <v>0.05</v>
      </c>
      <c r="H301" s="1">
        <v>338667</v>
      </c>
      <c r="I301" s="1" t="s">
        <v>170</v>
      </c>
      <c r="J301" s="4">
        <v>0.05</v>
      </c>
      <c r="K301" s="4" t="s">
        <v>175</v>
      </c>
      <c r="L301" s="16">
        <v>62000</v>
      </c>
    </row>
    <row r="302" spans="1:12" x14ac:dyDescent="0.3">
      <c r="A302" s="12">
        <v>301</v>
      </c>
      <c r="B302" s="12">
        <v>301</v>
      </c>
      <c r="C302" s="1">
        <v>4525</v>
      </c>
      <c r="D302" s="1">
        <f t="shared" si="4"/>
        <v>4545050</v>
      </c>
      <c r="E302" s="1">
        <v>340925</v>
      </c>
      <c r="F302" s="1" t="s">
        <v>170</v>
      </c>
      <c r="G302" s="4">
        <v>0.05</v>
      </c>
      <c r="H302" s="1">
        <v>340925</v>
      </c>
      <c r="I302" s="1" t="s">
        <v>170</v>
      </c>
      <c r="J302" s="4">
        <v>0.05</v>
      </c>
      <c r="K302" s="4" t="s">
        <v>175</v>
      </c>
      <c r="L302" s="16">
        <v>31000</v>
      </c>
    </row>
  </sheetData>
  <autoFilter ref="A1:J302"/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6:Q11"/>
  <sheetViews>
    <sheetView workbookViewId="0">
      <selection activeCell="F12" sqref="F12"/>
    </sheetView>
  </sheetViews>
  <sheetFormatPr defaultRowHeight="16.5" x14ac:dyDescent="0.3"/>
  <cols>
    <col min="12" max="12" width="11.625" bestFit="1" customWidth="1"/>
    <col min="13" max="13" width="15.125" bestFit="1" customWidth="1"/>
    <col min="16" max="16" width="15.875" style="21" bestFit="1" customWidth="1"/>
    <col min="17" max="17" width="15.875" style="19" bestFit="1" customWidth="1"/>
  </cols>
  <sheetData>
    <row r="6" spans="12:17" x14ac:dyDescent="0.3">
      <c r="L6">
        <v>8498429385</v>
      </c>
      <c r="M6" s="20">
        <v>166759439174</v>
      </c>
    </row>
    <row r="7" spans="12:17" x14ac:dyDescent="0.3">
      <c r="L7">
        <f>340925*100%</f>
        <v>340925</v>
      </c>
      <c r="M7">
        <f>340925*5000%</f>
        <v>17046250</v>
      </c>
      <c r="N7">
        <f>2257500</f>
        <v>2257500</v>
      </c>
      <c r="P7" s="21">
        <v>192050801129</v>
      </c>
    </row>
    <row r="8" spans="12:17" x14ac:dyDescent="0.3">
      <c r="L8">
        <f>L6/L7</f>
        <v>24927.562909730877</v>
      </c>
      <c r="M8">
        <f>M6/M7</f>
        <v>9782.7639025592143</v>
      </c>
      <c r="P8" s="21">
        <v>166759439174</v>
      </c>
      <c r="Q8" s="19">
        <f>P8*2</f>
        <v>333518878348</v>
      </c>
    </row>
    <row r="9" spans="12:17" x14ac:dyDescent="0.3">
      <c r="P9" s="21">
        <v>168834197429</v>
      </c>
      <c r="Q9" s="19">
        <f>P9*2</f>
        <v>337668394858</v>
      </c>
    </row>
    <row r="10" spans="12:17" x14ac:dyDescent="0.3">
      <c r="Q10" s="19">
        <f>P7+Q8+Q9</f>
        <v>863238074335</v>
      </c>
    </row>
    <row r="11" spans="12:17" x14ac:dyDescent="0.3">
      <c r="Q11" s="19">
        <f>Q10/(4514950*200%)</f>
        <v>95597.744641136669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3"/>
  <sheetViews>
    <sheetView workbookViewId="0">
      <selection activeCell="D15" sqref="D15"/>
    </sheetView>
  </sheetViews>
  <sheetFormatPr defaultRowHeight="16.5" x14ac:dyDescent="0.3"/>
  <cols>
    <col min="1" max="1" width="3.125" bestFit="1" customWidth="1"/>
    <col min="2" max="2" width="13.875" bestFit="1" customWidth="1"/>
    <col min="3" max="3" width="7.75" bestFit="1" customWidth="1"/>
    <col min="4" max="4" width="16.75" bestFit="1" customWidth="1"/>
    <col min="5" max="5" width="16.75" customWidth="1"/>
    <col min="6" max="8" width="13.625" bestFit="1" customWidth="1"/>
    <col min="9" max="9" width="9.125" bestFit="1" customWidth="1"/>
    <col min="10" max="10" width="17.375" bestFit="1" customWidth="1"/>
    <col min="11" max="11" width="13.875" bestFit="1" customWidth="1"/>
  </cols>
  <sheetData>
    <row r="1" spans="1:11" ht="17.25" thickBot="1" x14ac:dyDescent="0.35">
      <c r="A1" s="2" t="s">
        <v>12</v>
      </c>
      <c r="B1" s="2" t="s">
        <v>47</v>
      </c>
      <c r="C1" s="2" t="s">
        <v>74</v>
      </c>
      <c r="D1" s="2" t="s">
        <v>48</v>
      </c>
      <c r="E1" s="6" t="s">
        <v>137</v>
      </c>
      <c r="F1" s="2" t="s">
        <v>78</v>
      </c>
      <c r="G1" s="2" t="s">
        <v>79</v>
      </c>
      <c r="H1" s="2" t="s">
        <v>80</v>
      </c>
      <c r="I1" s="2" t="s">
        <v>77</v>
      </c>
      <c r="J1" s="2" t="s">
        <v>81</v>
      </c>
      <c r="K1" s="2" t="s">
        <v>73</v>
      </c>
    </row>
    <row r="2" spans="1:11" x14ac:dyDescent="0.3">
      <c r="A2" s="1">
        <v>1</v>
      </c>
      <c r="B2" s="1" t="s">
        <v>49</v>
      </c>
      <c r="C2" s="1" t="s">
        <v>75</v>
      </c>
      <c r="D2" s="1" t="s">
        <v>58</v>
      </c>
      <c r="E2" s="1">
        <v>1</v>
      </c>
      <c r="F2" s="1">
        <v>1</v>
      </c>
      <c r="G2" s="1">
        <v>0</v>
      </c>
      <c r="H2" s="1">
        <v>0</v>
      </c>
      <c r="I2" s="1">
        <v>1</v>
      </c>
      <c r="J2" s="1">
        <v>0</v>
      </c>
      <c r="K2" s="1">
        <v>0</v>
      </c>
    </row>
    <row r="3" spans="1:11" x14ac:dyDescent="0.3">
      <c r="A3" s="1">
        <v>2</v>
      </c>
      <c r="B3" s="1" t="s">
        <v>50</v>
      </c>
      <c r="C3" s="1" t="s">
        <v>75</v>
      </c>
      <c r="D3" s="1" t="s">
        <v>59</v>
      </c>
      <c r="E3" s="1">
        <v>1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">
        <v>0</v>
      </c>
    </row>
    <row r="4" spans="1:11" x14ac:dyDescent="0.3">
      <c r="A4" s="1">
        <v>3</v>
      </c>
      <c r="B4" s="1" t="s">
        <v>51</v>
      </c>
      <c r="C4" s="1" t="s">
        <v>75</v>
      </c>
      <c r="D4" s="1" t="s">
        <v>60</v>
      </c>
      <c r="E4" s="1">
        <v>1</v>
      </c>
      <c r="F4" s="1">
        <v>1</v>
      </c>
      <c r="G4" s="1">
        <v>0</v>
      </c>
      <c r="H4" s="1">
        <v>0</v>
      </c>
      <c r="I4" s="1">
        <v>1</v>
      </c>
      <c r="J4" s="1">
        <v>0</v>
      </c>
      <c r="K4" s="1">
        <v>0</v>
      </c>
    </row>
    <row r="5" spans="1:11" x14ac:dyDescent="0.3">
      <c r="A5" s="1">
        <v>4</v>
      </c>
      <c r="B5" s="1" t="s">
        <v>67</v>
      </c>
      <c r="C5" s="1" t="s">
        <v>76</v>
      </c>
      <c r="D5" s="1" t="s">
        <v>68</v>
      </c>
      <c r="E5" s="1">
        <v>1</v>
      </c>
      <c r="F5" s="1">
        <v>1</v>
      </c>
      <c r="G5" s="1">
        <v>1.5</v>
      </c>
      <c r="H5" s="1">
        <v>2</v>
      </c>
      <c r="I5" s="1">
        <v>1</v>
      </c>
      <c r="J5" s="1">
        <v>5</v>
      </c>
      <c r="K5" s="1">
        <v>7</v>
      </c>
    </row>
    <row r="6" spans="1:11" x14ac:dyDescent="0.3">
      <c r="A6" s="1">
        <v>5</v>
      </c>
      <c r="B6" s="1" t="s">
        <v>52</v>
      </c>
      <c r="C6" s="1" t="s">
        <v>75</v>
      </c>
      <c r="D6" s="1" t="s">
        <v>61</v>
      </c>
      <c r="E6" s="1">
        <v>1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">
        <v>0</v>
      </c>
    </row>
    <row r="7" spans="1:11" x14ac:dyDescent="0.3">
      <c r="A7" s="1">
        <v>6</v>
      </c>
      <c r="B7" s="1" t="s">
        <v>53</v>
      </c>
      <c r="C7" s="1" t="s">
        <v>75</v>
      </c>
      <c r="D7" s="1" t="s">
        <v>62</v>
      </c>
      <c r="E7" s="1">
        <v>1</v>
      </c>
      <c r="F7" s="1">
        <v>1</v>
      </c>
      <c r="G7" s="1">
        <v>0</v>
      </c>
      <c r="H7" s="1">
        <v>0</v>
      </c>
      <c r="I7" s="1">
        <v>1</v>
      </c>
      <c r="J7" s="1">
        <v>0</v>
      </c>
      <c r="K7" s="1">
        <v>0</v>
      </c>
    </row>
    <row r="8" spans="1:11" x14ac:dyDescent="0.3">
      <c r="A8" s="1">
        <v>7</v>
      </c>
      <c r="B8" s="1" t="s">
        <v>54</v>
      </c>
      <c r="C8" s="1" t="s">
        <v>75</v>
      </c>
      <c r="D8" s="1" t="s">
        <v>63</v>
      </c>
      <c r="E8" s="1">
        <v>1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">
        <v>0</v>
      </c>
    </row>
    <row r="9" spans="1:11" x14ac:dyDescent="0.3">
      <c r="A9" s="1">
        <v>8</v>
      </c>
      <c r="B9" s="1" t="s">
        <v>55</v>
      </c>
      <c r="C9" s="1" t="s">
        <v>75</v>
      </c>
      <c r="D9" s="1" t="s">
        <v>64</v>
      </c>
      <c r="E9" s="1">
        <v>1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">
        <v>0</v>
      </c>
    </row>
    <row r="10" spans="1:11" x14ac:dyDescent="0.3">
      <c r="A10" s="1">
        <v>9</v>
      </c>
      <c r="B10" s="1" t="s">
        <v>56</v>
      </c>
      <c r="C10" s="1" t="s">
        <v>75</v>
      </c>
      <c r="D10" s="1" t="s">
        <v>65</v>
      </c>
      <c r="E10" s="1">
        <v>1</v>
      </c>
      <c r="F10" s="1">
        <v>1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</row>
    <row r="11" spans="1:11" x14ac:dyDescent="0.3">
      <c r="A11" s="1">
        <v>10</v>
      </c>
      <c r="B11" s="1" t="s">
        <v>57</v>
      </c>
      <c r="C11" s="1" t="s">
        <v>76</v>
      </c>
      <c r="D11" s="1" t="s">
        <v>66</v>
      </c>
      <c r="E11" s="1">
        <v>3</v>
      </c>
      <c r="F11" s="1">
        <v>1</v>
      </c>
      <c r="G11" s="1">
        <v>1.5</v>
      </c>
      <c r="H11" s="1">
        <v>2</v>
      </c>
      <c r="I11" s="1">
        <v>1</v>
      </c>
      <c r="J11" s="1">
        <v>5</v>
      </c>
      <c r="K11" s="1">
        <v>7</v>
      </c>
    </row>
    <row r="12" spans="1:11" x14ac:dyDescent="0.3">
      <c r="A12" s="1"/>
      <c r="B12" s="1"/>
      <c r="C12" s="1"/>
    </row>
    <row r="13" spans="1:11" x14ac:dyDescent="0.3">
      <c r="A13" s="1"/>
      <c r="B13" s="1"/>
      <c r="C13" s="1"/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Currency</vt:lpstr>
      <vt:lpstr>Resource</vt:lpstr>
      <vt:lpstr>StageBase</vt:lpstr>
      <vt:lpstr>Stage</vt:lpstr>
      <vt:lpstr>Sheet1 (2)</vt:lpstr>
      <vt:lpstr>Sheet1</vt:lpstr>
      <vt:lpstr>StageReward</vt:lpstr>
      <vt:lpstr>Sheet2</vt:lpstr>
      <vt:lpstr>Monster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chonextall</cp:lastModifiedBy>
  <dcterms:created xsi:type="dcterms:W3CDTF">2022-07-19T07:43:15Z</dcterms:created>
  <dcterms:modified xsi:type="dcterms:W3CDTF">2022-09-13T09:58:18Z</dcterms:modified>
</cp:coreProperties>
</file>