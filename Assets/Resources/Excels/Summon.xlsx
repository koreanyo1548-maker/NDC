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446C38C-5A94-440F-BAF7-2F46FF9D3CB2}" xr6:coauthVersionLast="47" xr6:coauthVersionMax="47" xr10:uidLastSave="{00000000-0000-0000-0000-000000000000}"/>
  <bookViews>
    <workbookView xWindow="-108" yWindow="-108" windowWidth="23256" windowHeight="13896" firstSheet="3" activeTab="6" xr2:uid="{00000000-000D-0000-FFFF-FFFF00000000}"/>
  </bookViews>
  <sheets>
    <sheet name="SummonNecklaceProbability" sheetId="8" r:id="rId1"/>
    <sheet name="SummonRelicProbability" sheetId="7" r:id="rId2"/>
    <sheet name="SummonGradeProbability" sheetId="6" r:id="rId3"/>
    <sheet name="SummonSkillProbability" sheetId="3" r:id="rId4"/>
    <sheet name="SummonLevel" sheetId="5" r:id="rId5"/>
    <sheet name="SummonNumberProbability" sheetId="2" r:id="rId6"/>
    <sheet name="SummonProduct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6" l="1"/>
  <c r="B11" i="6"/>
  <c r="I10" i="6"/>
  <c r="I9" i="6"/>
  <c r="I8" i="6"/>
  <c r="I7" i="6"/>
  <c r="I6" i="6"/>
  <c r="I5" i="6"/>
  <c r="I4" i="6"/>
  <c r="I3" i="6"/>
  <c r="I2" i="6"/>
  <c r="C19" i="4"/>
  <c r="C20" i="4" s="1"/>
  <c r="C18" i="4"/>
  <c r="C10" i="4"/>
  <c r="C9" i="4"/>
  <c r="C8" i="4"/>
  <c r="C5" i="4"/>
  <c r="C4" i="4"/>
  <c r="C3" i="4"/>
  <c r="C13" i="4"/>
  <c r="C14" i="4"/>
  <c r="C15" i="4"/>
  <c r="C12" i="4"/>
  <c r="I2" i="8"/>
  <c r="I3" i="8"/>
  <c r="I4" i="8"/>
  <c r="I5" i="8"/>
  <c r="I6" i="8"/>
  <c r="I7" i="8"/>
  <c r="I8" i="8"/>
  <c r="I9" i="8"/>
  <c r="I10" i="8"/>
  <c r="I11" i="8"/>
  <c r="B9" i="7"/>
  <c r="J2" i="2"/>
  <c r="B3" i="2"/>
  <c r="B4" i="2"/>
  <c r="B5" i="2"/>
  <c r="B6" i="2"/>
  <c r="B7" i="2"/>
  <c r="B8" i="2"/>
  <c r="B2" i="2"/>
  <c r="L13" i="6" l="1"/>
  <c r="R44" i="6"/>
  <c r="Q44" i="6"/>
  <c r="P44" i="6"/>
  <c r="O44" i="6"/>
  <c r="N44" i="6"/>
  <c r="M44" i="6"/>
  <c r="S34" i="6"/>
  <c r="I44" i="6"/>
  <c r="H44" i="6"/>
  <c r="G44" i="6"/>
  <c r="F44" i="6"/>
  <c r="E44" i="6"/>
  <c r="D44" i="6"/>
  <c r="J34" i="6"/>
  <c r="F49" i="6" s="1"/>
  <c r="M54" i="6" l="1"/>
  <c r="R49" i="6"/>
  <c r="R47" i="6"/>
  <c r="N53" i="6"/>
  <c r="P49" i="6"/>
  <c r="Q52" i="6"/>
  <c r="M51" i="6"/>
  <c r="O53" i="6"/>
  <c r="G47" i="6"/>
  <c r="I53" i="6"/>
  <c r="F52" i="6"/>
  <c r="H50" i="6"/>
  <c r="E49" i="6"/>
  <c r="P53" i="6"/>
  <c r="M49" i="6"/>
  <c r="F47" i="6"/>
  <c r="H53" i="6"/>
  <c r="E52" i="6"/>
  <c r="G50" i="6"/>
  <c r="I48" i="6"/>
  <c r="R51" i="6"/>
  <c r="M48" i="6"/>
  <c r="G53" i="6"/>
  <c r="F50" i="6"/>
  <c r="P50" i="6"/>
  <c r="F53" i="6"/>
  <c r="H54" i="6"/>
  <c r="E53" i="6"/>
  <c r="G51" i="6"/>
  <c r="I49" i="6"/>
  <c r="F48" i="6"/>
  <c r="Q48" i="6"/>
  <c r="E47" i="6"/>
  <c r="I51" i="6"/>
  <c r="H48" i="6"/>
  <c r="M47" i="6"/>
  <c r="I54" i="6"/>
  <c r="H51" i="6"/>
  <c r="E50" i="6"/>
  <c r="G54" i="6"/>
  <c r="I52" i="6"/>
  <c r="F51" i="6"/>
  <c r="H49" i="6"/>
  <c r="E48" i="6"/>
  <c r="G48" i="6"/>
  <c r="I47" i="6"/>
  <c r="F54" i="6"/>
  <c r="H52" i="6"/>
  <c r="E51" i="6"/>
  <c r="G49" i="6"/>
  <c r="R54" i="6"/>
  <c r="R48" i="6"/>
  <c r="H47" i="6"/>
  <c r="E54" i="6"/>
  <c r="G52" i="6"/>
  <c r="I50" i="6"/>
  <c r="Q53" i="6"/>
  <c r="M50" i="6"/>
  <c r="O20" i="6"/>
  <c r="R21" i="6"/>
  <c r="O50" i="6"/>
  <c r="N50" i="6"/>
  <c r="N47" i="6"/>
  <c r="Q51" i="6"/>
  <c r="P48" i="6"/>
  <c r="Q54" i="6"/>
  <c r="P51" i="6"/>
  <c r="O48" i="6"/>
  <c r="P54" i="6"/>
  <c r="O51" i="6"/>
  <c r="N48" i="6"/>
  <c r="O54" i="6"/>
  <c r="N51" i="6"/>
  <c r="N54" i="6"/>
  <c r="R50" i="6"/>
  <c r="M53" i="6"/>
  <c r="R53" i="6"/>
  <c r="Q50" i="6"/>
  <c r="M52" i="6"/>
  <c r="Q47" i="6"/>
  <c r="P52" i="6"/>
  <c r="O49" i="6"/>
  <c r="P47" i="6"/>
  <c r="O52" i="6"/>
  <c r="N49" i="6"/>
  <c r="R52" i="6"/>
  <c r="Q49" i="6"/>
  <c r="O47" i="6"/>
  <c r="N52" i="6"/>
  <c r="P18" i="6" l="1"/>
  <c r="R20" i="6"/>
  <c r="L21" i="6"/>
  <c r="Q21" i="6"/>
  <c r="R18" i="6"/>
  <c r="O19" i="6"/>
  <c r="M19" i="6"/>
  <c r="O21" i="6"/>
  <c r="P21" i="6"/>
  <c r="P19" i="6"/>
  <c r="O18" i="6"/>
  <c r="N20" i="6"/>
  <c r="M20" i="6"/>
  <c r="Q19" i="6"/>
  <c r="M18" i="6"/>
  <c r="N21" i="6"/>
  <c r="N18" i="6"/>
  <c r="P22" i="6"/>
  <c r="Q18" i="6"/>
  <c r="P20" i="6"/>
  <c r="N19" i="6"/>
  <c r="R22" i="6"/>
  <c r="L18" i="6"/>
  <c r="L19" i="6"/>
  <c r="R19" i="6"/>
  <c r="M21" i="6"/>
  <c r="Q20" i="6"/>
  <c r="L20" i="6"/>
  <c r="Q22" i="6"/>
  <c r="L22" i="6"/>
  <c r="M22" i="6"/>
  <c r="N22" i="6"/>
  <c r="O22" i="6"/>
  <c r="R24" i="6" l="1"/>
  <c r="O24" i="6"/>
  <c r="P24" i="6"/>
  <c r="N24" i="6"/>
  <c r="Q24" i="6"/>
  <c r="L24" i="6"/>
  <c r="M24" i="6"/>
  <c r="D3" i="4"/>
  <c r="D7" i="4"/>
  <c r="D8" i="4"/>
  <c r="D12" i="4"/>
  <c r="D13" i="4"/>
  <c r="D2" i="4"/>
  <c r="S24" i="6" l="1"/>
  <c r="D51" i="6" l="1"/>
  <c r="D48" i="6"/>
  <c r="D50" i="6"/>
  <c r="D54" i="6"/>
  <c r="D49" i="6"/>
  <c r="D53" i="6"/>
  <c r="D47" i="6"/>
  <c r="D52" i="6"/>
</calcChain>
</file>

<file path=xl/sharedStrings.xml><?xml version="1.0" encoding="utf-8"?>
<sst xmlns="http://schemas.openxmlformats.org/spreadsheetml/2006/main" count="119" uniqueCount="61">
  <si>
    <t>Id</t>
    <phoneticPr fontId="2" type="noConversion"/>
  </si>
  <si>
    <t>Normal</t>
    <phoneticPr fontId="2" type="noConversion"/>
  </si>
  <si>
    <t>Magic</t>
    <phoneticPr fontId="2" type="noConversion"/>
  </si>
  <si>
    <t>Probability</t>
    <phoneticPr fontId="2" type="noConversion"/>
  </si>
  <si>
    <t>Rare</t>
    <phoneticPr fontId="2" type="noConversion"/>
  </si>
  <si>
    <t>Unique</t>
    <phoneticPr fontId="2" type="noConversion"/>
  </si>
  <si>
    <t>Heroic</t>
    <phoneticPr fontId="2" type="noConversion"/>
  </si>
  <si>
    <t>Legendary</t>
    <phoneticPr fontId="2" type="noConversion"/>
  </si>
  <si>
    <t>Mythic</t>
    <phoneticPr fontId="2" type="noConversion"/>
  </si>
  <si>
    <t>WeaponSummon1</t>
    <phoneticPr fontId="2" type="noConversion"/>
  </si>
  <si>
    <t>WeaponSummon2</t>
    <phoneticPr fontId="2" type="noConversion"/>
  </si>
  <si>
    <t>SkillSummon1</t>
    <phoneticPr fontId="2" type="noConversion"/>
  </si>
  <si>
    <t>SkillSummon2</t>
    <phoneticPr fontId="2" type="noConversion"/>
  </si>
  <si>
    <t>Counts</t>
    <phoneticPr fontId="2" type="noConversion"/>
  </si>
  <si>
    <t>AccessorySummon1</t>
    <phoneticPr fontId="2" type="noConversion"/>
  </si>
  <si>
    <t>AccessorySummon2</t>
    <phoneticPr fontId="2" type="noConversion"/>
  </si>
  <si>
    <t>Cost</t>
    <phoneticPr fontId="2" type="noConversion"/>
  </si>
  <si>
    <t>Id</t>
    <phoneticPr fontId="2" type="noConversion"/>
  </si>
  <si>
    <t>NeedExp</t>
    <phoneticPr fontId="2" type="noConversion"/>
  </si>
  <si>
    <t>매직</t>
    <phoneticPr fontId="2" type="noConversion"/>
  </si>
  <si>
    <t>레어</t>
    <phoneticPr fontId="2" type="noConversion"/>
  </si>
  <si>
    <t>영웅</t>
    <phoneticPr fontId="2" type="noConversion"/>
  </si>
  <si>
    <t>전설</t>
    <phoneticPr fontId="2" type="noConversion"/>
  </si>
  <si>
    <t>신화</t>
    <phoneticPr fontId="2" type="noConversion"/>
  </si>
  <si>
    <t>갓</t>
    <phoneticPr fontId="2" type="noConversion"/>
  </si>
  <si>
    <t>15레벨</t>
  </si>
  <si>
    <t>15레벨</t>
    <phoneticPr fontId="2" type="noConversion"/>
  </si>
  <si>
    <t>6레벨</t>
    <phoneticPr fontId="2" type="noConversion"/>
  </si>
  <si>
    <t>https://mobirix.zendesk.com/hc/ko/articles/5087424206489--%EB%B8%94%EB%A0%88%EC%9D%B4%EB%93%9C-%ED%82%A4%EC%9A%B0%EA%B8%B0-%EB%AC%B4%EA%B8%B0-%EB%B0%A9%EC%96%B4%EA%B5%AC-%ED%99%95%EB%A5%A0-%EC%95%88%EB%82%B4-22-10-28-</t>
    <phoneticPr fontId="2" type="noConversion"/>
  </si>
  <si>
    <t>WeaponId</t>
    <phoneticPr fontId="2" type="noConversion"/>
  </si>
  <si>
    <t>WeaponCount</t>
    <phoneticPr fontId="2" type="noConversion"/>
  </si>
  <si>
    <t>AccessoryId</t>
    <phoneticPr fontId="2" type="noConversion"/>
  </si>
  <si>
    <t>AccessoryCount</t>
    <phoneticPr fontId="2" type="noConversion"/>
  </si>
  <si>
    <t>SkillCount</t>
    <phoneticPr fontId="2" type="noConversion"/>
  </si>
  <si>
    <t>블레이드 키우기</t>
    <phoneticPr fontId="2" type="noConversion"/>
  </si>
  <si>
    <t>노멀</t>
    <phoneticPr fontId="2" type="noConversion"/>
  </si>
  <si>
    <t>유니크</t>
    <phoneticPr fontId="2" type="noConversion"/>
  </si>
  <si>
    <t>확률 레벨</t>
    <phoneticPr fontId="2" type="noConversion"/>
  </si>
  <si>
    <t>등급별 확률</t>
    <phoneticPr fontId="2" type="noConversion"/>
  </si>
  <si>
    <t>SkillId</t>
    <phoneticPr fontId="2" type="noConversion"/>
  </si>
  <si>
    <t>WeaponSummon3</t>
  </si>
  <si>
    <t>WeaponSummon4</t>
  </si>
  <si>
    <t>AccessorySummon3</t>
  </si>
  <si>
    <t>AccessorySummon4</t>
  </si>
  <si>
    <t>SkillNeedExp</t>
    <phoneticPr fontId="2" type="noConversion"/>
  </si>
  <si>
    <t>SkillSummon3</t>
    <phoneticPr fontId="2" type="noConversion"/>
  </si>
  <si>
    <t>SkillSummon4</t>
    <phoneticPr fontId="2" type="noConversion"/>
  </si>
  <si>
    <t>RelicSummon1</t>
    <phoneticPr fontId="2" type="noConversion"/>
  </si>
  <si>
    <t>RelicSummon2</t>
    <phoneticPr fontId="2" type="noConversion"/>
  </si>
  <si>
    <t>RelicSummon3</t>
  </si>
  <si>
    <t>RelicSummon4</t>
  </si>
  <si>
    <t>NecklaceSummon1</t>
    <phoneticPr fontId="2" type="noConversion"/>
  </si>
  <si>
    <t>NecklaceSummon2</t>
    <phoneticPr fontId="2" type="noConversion"/>
  </si>
  <si>
    <t>NecklaceSummon3</t>
  </si>
  <si>
    <t>NecklaceSummon4</t>
  </si>
  <si>
    <t>NecklaceNeedExp</t>
    <phoneticPr fontId="2" type="noConversion"/>
  </si>
  <si>
    <t>WeaponAdSummon</t>
  </si>
  <si>
    <t>AccessoryAdSummon</t>
  </si>
  <si>
    <t>SkillAdSummon</t>
  </si>
  <si>
    <t>RelicAdSummon</t>
  </si>
  <si>
    <t>NecklaceAdSummon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</si>
</sst>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7" formatCode="_-* #,##0_-;\-* #,##0_-;_-* &quot;-&quot;_-;_-@_-"/>
  </numFmts>
  <fonts count="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1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</cellStyleXfs>
  <cellXfs count="3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1" fontId="0" fillId="0" borderId="0" xfId="1" applyFont="1" applyFill="1">
      <alignment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0" fillId="0" borderId="8" xfId="0" applyBorder="1"/>
    <xf numFmtId="0" fontId="4" fillId="0" borderId="0" xfId="2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2" borderId="0" xfId="0" applyFill="1"/>
    <xf numFmtId="3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/>
    </xf>
    <xf numFmtId="41" fontId="0" fillId="0" borderId="0" xfId="1" applyFont="1" applyAlignment="1"/>
    <xf numFmtId="41" fontId="0" fillId="0" borderId="0" xfId="1" applyFont="1" applyAlignment="1">
      <alignment horizontal="center" vertical="center"/>
    </xf>
    <xf numFmtId="0" fontId="0" fillId="2" borderId="1" xfId="0" applyFill="1" applyBorder="1"/>
    <xf numFmtId="0" fontId="0" fillId="0" borderId="0" xfId="0" applyAlignment="1">
      <alignment vertical="center"/>
    </xf>
    <xf numFmtId="0" fontId="0" fillId="3" borderId="1" xfId="0" applyFill="1" applyBorder="1" applyAlignment="1">
      <alignment horizontal="center"/>
    </xf>
    <xf numFmtId="41" fontId="0" fillId="0" borderId="0" xfId="3" applyFont="1" applyAlignment="1">
      <alignment horizontal="center" vertical="center"/>
    </xf>
    <xf numFmtId="0" fontId="0" fillId="0" borderId="0" xfId="0"/>
    <xf numFmtId="0" fontId="0" fillId="2" borderId="0" xfId="0" applyFill="1"/>
    <xf numFmtId="0" fontId="0" fillId="0" borderId="0" xfId="0"/>
    <xf numFmtId="0" fontId="0" fillId="2" borderId="0" xfId="0" applyFill="1"/>
    <xf numFmtId="0" fontId="0" fillId="0" borderId="0" xfId="0"/>
    <xf numFmtId="0" fontId="0" fillId="2" borderId="0" xfId="0" applyFill="1"/>
    <xf numFmtId="0" fontId="0" fillId="0" borderId="0" xfId="0"/>
    <xf numFmtId="0" fontId="0" fillId="2" borderId="0" xfId="0" applyFill="1"/>
    <xf numFmtId="0" fontId="0" fillId="0" borderId="0" xfId="0"/>
    <xf numFmtId="0" fontId="0" fillId="2" borderId="0" xfId="0" applyFill="1"/>
  </cellXfs>
  <cellStyles count="6">
    <cellStyle name="쉼표 [0]" xfId="1" builtinId="6"/>
    <cellStyle name="쉼표 [0] 2" xfId="3" xr:uid="{3D51877E-9EC8-445D-ABE7-A399BAA00E52}"/>
    <cellStyle name="쉼표 [0] 2 2" xfId="5" xr:uid="{6A4B31E2-DA70-409D-8896-6A73DE95F2E2}"/>
    <cellStyle name="쉼표 [0] 3" xfId="4" xr:uid="{32DB3E51-FF41-42EF-92D2-3AFB863B914F}"/>
    <cellStyle name="표준" xfId="0" builtinId="0"/>
    <cellStyle name="하이퍼링크" xfId="2" builtinId="8"/>
  </cellStyles>
  <dxfs count="0"/>
  <tableStyles count="0" defaultTableStyle="TableStyleMedium2" defaultPivotStyle="PivotStyleLight16"/>
  <colors>
    <mruColors>
      <color rgb="FFFF75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obirix.zendesk.com/hc/ko/articles/5087424206489--%EB%B8%94%EB%A0%88%EC%9D%B4%EB%93%9C-%ED%82%A4%EC%9A%B0%EA%B8%B0-%EB%AC%B4%EA%B8%B0-%EB%B0%A9%EC%96%B4%EA%B5%AC-%ED%99%95%EB%A5%A0-%EC%95%88%EB%82%B4-22-10-28-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79998168889431442"/>
  </sheetPr>
  <dimension ref="A1:I11"/>
  <sheetViews>
    <sheetView workbookViewId="0">
      <selection activeCell="F20" sqref="F20"/>
    </sheetView>
  </sheetViews>
  <sheetFormatPr defaultRowHeight="17.399999999999999" x14ac:dyDescent="0.4"/>
  <cols>
    <col min="9" max="9" width="9.19921875" bestFit="1" customWidth="1"/>
  </cols>
  <sheetData>
    <row r="1" spans="1:9" ht="18" thickBot="1" x14ac:dyDescent="0.4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9" x14ac:dyDescent="0.4">
      <c r="A2" s="2">
        <v>1</v>
      </c>
      <c r="B2" s="18">
        <v>400000</v>
      </c>
      <c r="C2" s="18">
        <v>250000</v>
      </c>
      <c r="D2" s="18">
        <v>170000</v>
      </c>
      <c r="E2" s="18">
        <v>100000</v>
      </c>
      <c r="F2" s="18">
        <v>50000</v>
      </c>
      <c r="G2" s="18">
        <v>20000</v>
      </c>
      <c r="H2" s="18">
        <v>10000</v>
      </c>
      <c r="I2" s="18">
        <f t="shared" ref="I2:I11" si="0">SUM(B2:H2)</f>
        <v>1000000</v>
      </c>
    </row>
    <row r="3" spans="1:9" x14ac:dyDescent="0.4">
      <c r="A3" s="2">
        <v>2</v>
      </c>
      <c r="B3" s="19">
        <v>397800</v>
      </c>
      <c r="C3" s="19">
        <v>249200</v>
      </c>
      <c r="D3" s="19">
        <v>168700</v>
      </c>
      <c r="E3" s="19">
        <v>102000</v>
      </c>
      <c r="F3" s="19">
        <v>51000</v>
      </c>
      <c r="G3" s="19">
        <v>20800</v>
      </c>
      <c r="H3" s="19">
        <v>10500</v>
      </c>
      <c r="I3" s="18">
        <f t="shared" si="0"/>
        <v>1000000</v>
      </c>
    </row>
    <row r="4" spans="1:9" x14ac:dyDescent="0.4">
      <c r="A4" s="2">
        <v>3</v>
      </c>
      <c r="B4" s="19">
        <v>395600</v>
      </c>
      <c r="C4" s="19">
        <v>248400</v>
      </c>
      <c r="D4" s="19">
        <v>167400</v>
      </c>
      <c r="E4" s="19">
        <v>104000</v>
      </c>
      <c r="F4" s="19">
        <v>52000</v>
      </c>
      <c r="G4" s="19">
        <v>21600</v>
      </c>
      <c r="H4" s="19">
        <v>11000</v>
      </c>
      <c r="I4" s="18">
        <f t="shared" si="0"/>
        <v>1000000</v>
      </c>
    </row>
    <row r="5" spans="1:9" x14ac:dyDescent="0.4">
      <c r="A5" s="2">
        <v>4</v>
      </c>
      <c r="B5" s="19">
        <v>393400</v>
      </c>
      <c r="C5" s="19">
        <v>247600</v>
      </c>
      <c r="D5" s="19">
        <v>166100</v>
      </c>
      <c r="E5" s="19">
        <v>106000</v>
      </c>
      <c r="F5" s="19">
        <v>53000</v>
      </c>
      <c r="G5" s="19">
        <v>22400</v>
      </c>
      <c r="H5" s="19">
        <v>11500</v>
      </c>
      <c r="I5" s="18">
        <f t="shared" si="0"/>
        <v>1000000</v>
      </c>
    </row>
    <row r="6" spans="1:9" x14ac:dyDescent="0.4">
      <c r="A6" s="2">
        <v>5</v>
      </c>
      <c r="B6" s="19">
        <v>391200</v>
      </c>
      <c r="C6" s="19">
        <v>246800</v>
      </c>
      <c r="D6" s="19">
        <v>164800</v>
      </c>
      <c r="E6" s="19">
        <v>108000</v>
      </c>
      <c r="F6" s="19">
        <v>54000</v>
      </c>
      <c r="G6" s="19">
        <v>23200</v>
      </c>
      <c r="H6" s="19">
        <v>12000</v>
      </c>
      <c r="I6" s="18">
        <f t="shared" si="0"/>
        <v>1000000</v>
      </c>
    </row>
    <row r="7" spans="1:9" x14ac:dyDescent="0.4">
      <c r="A7" s="2">
        <v>6</v>
      </c>
      <c r="B7" s="19">
        <v>389000</v>
      </c>
      <c r="C7" s="19">
        <v>246000</v>
      </c>
      <c r="D7" s="19">
        <v>163500</v>
      </c>
      <c r="E7" s="19">
        <v>110000</v>
      </c>
      <c r="F7" s="19">
        <v>55000</v>
      </c>
      <c r="G7" s="19">
        <v>24000</v>
      </c>
      <c r="H7" s="19">
        <v>12500</v>
      </c>
      <c r="I7" s="18">
        <f t="shared" si="0"/>
        <v>1000000</v>
      </c>
    </row>
    <row r="8" spans="1:9" x14ac:dyDescent="0.4">
      <c r="A8" s="2">
        <v>7</v>
      </c>
      <c r="B8" s="19">
        <v>386800</v>
      </c>
      <c r="C8" s="19">
        <v>245200</v>
      </c>
      <c r="D8" s="19">
        <v>162200</v>
      </c>
      <c r="E8" s="19">
        <v>112000</v>
      </c>
      <c r="F8" s="19">
        <v>56000</v>
      </c>
      <c r="G8" s="19">
        <v>24800</v>
      </c>
      <c r="H8" s="19">
        <v>13000</v>
      </c>
      <c r="I8" s="18">
        <f t="shared" si="0"/>
        <v>1000000</v>
      </c>
    </row>
    <row r="9" spans="1:9" x14ac:dyDescent="0.4">
      <c r="A9" s="2">
        <v>8</v>
      </c>
      <c r="B9" s="19">
        <v>384600</v>
      </c>
      <c r="C9" s="19">
        <v>244400</v>
      </c>
      <c r="D9" s="19">
        <v>160900</v>
      </c>
      <c r="E9" s="19">
        <v>114000</v>
      </c>
      <c r="F9" s="19">
        <v>57000</v>
      </c>
      <c r="G9" s="19">
        <v>25600</v>
      </c>
      <c r="H9" s="19">
        <v>13500</v>
      </c>
      <c r="I9" s="18">
        <f t="shared" si="0"/>
        <v>1000000</v>
      </c>
    </row>
    <row r="10" spans="1:9" x14ac:dyDescent="0.4">
      <c r="A10" s="2">
        <v>9</v>
      </c>
      <c r="B10" s="19">
        <v>382400</v>
      </c>
      <c r="C10" s="19">
        <v>243600</v>
      </c>
      <c r="D10" s="19">
        <v>159600</v>
      </c>
      <c r="E10" s="19">
        <v>116000</v>
      </c>
      <c r="F10" s="19">
        <v>58000</v>
      </c>
      <c r="G10" s="19">
        <v>26400</v>
      </c>
      <c r="H10" s="19">
        <v>14000</v>
      </c>
      <c r="I10" s="18">
        <f t="shared" si="0"/>
        <v>1000000</v>
      </c>
    </row>
    <row r="11" spans="1:9" x14ac:dyDescent="0.4">
      <c r="A11" s="2">
        <v>10</v>
      </c>
      <c r="B11" s="19">
        <v>380200</v>
      </c>
      <c r="C11" s="19">
        <v>242800</v>
      </c>
      <c r="D11" s="19">
        <v>158300</v>
      </c>
      <c r="E11" s="19">
        <v>118000</v>
      </c>
      <c r="F11" s="19">
        <v>59000</v>
      </c>
      <c r="G11" s="19">
        <v>27200</v>
      </c>
      <c r="H11" s="19">
        <v>14500</v>
      </c>
      <c r="I11" s="18">
        <f t="shared" si="0"/>
        <v>1000000</v>
      </c>
    </row>
  </sheetData>
  <phoneticPr fontId="2" type="noConversion"/>
  <pageMargins left="0.7" right="0.7" top="0.75" bottom="0.75" header="0.3" footer="0.3"/>
  <ignoredErrors>
    <ignoredError sqref="I2:I1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>
      <selection activeCell="B27" sqref="B27"/>
    </sheetView>
  </sheetViews>
  <sheetFormatPr defaultRowHeight="17.399999999999999" x14ac:dyDescent="0.4"/>
  <cols>
    <col min="2" max="2" width="10.69921875" bestFit="1" customWidth="1"/>
    <col min="9" max="9" width="10.69921875" bestFit="1" customWidth="1"/>
  </cols>
  <sheetData>
    <row r="1" spans="1:8" ht="18" thickBot="1" x14ac:dyDescent="0.45">
      <c r="A1" s="1" t="s">
        <v>0</v>
      </c>
      <c r="B1" s="22" t="s">
        <v>3</v>
      </c>
      <c r="C1" s="23"/>
      <c r="D1" s="23"/>
      <c r="E1" s="23"/>
      <c r="F1" s="23"/>
      <c r="G1" s="2"/>
      <c r="H1" s="23"/>
    </row>
    <row r="2" spans="1:8" x14ac:dyDescent="0.4">
      <c r="A2" t="s">
        <v>1</v>
      </c>
      <c r="B2" s="20">
        <v>360000</v>
      </c>
    </row>
    <row r="3" spans="1:8" x14ac:dyDescent="0.4">
      <c r="A3" t="s">
        <v>2</v>
      </c>
      <c r="B3" s="20">
        <v>270000</v>
      </c>
    </row>
    <row r="4" spans="1:8" x14ac:dyDescent="0.4">
      <c r="A4" t="s">
        <v>4</v>
      </c>
      <c r="B4" s="20">
        <v>190000</v>
      </c>
    </row>
    <row r="5" spans="1:8" x14ac:dyDescent="0.4">
      <c r="A5" t="s">
        <v>5</v>
      </c>
      <c r="B5" s="20">
        <v>100000</v>
      </c>
    </row>
    <row r="6" spans="1:8" x14ac:dyDescent="0.4">
      <c r="A6" t="s">
        <v>6</v>
      </c>
      <c r="B6" s="20">
        <v>40000</v>
      </c>
    </row>
    <row r="7" spans="1:8" x14ac:dyDescent="0.4">
      <c r="A7" t="s">
        <v>7</v>
      </c>
      <c r="B7" s="20">
        <v>30000</v>
      </c>
    </row>
    <row r="8" spans="1:8" x14ac:dyDescent="0.4">
      <c r="A8" t="s">
        <v>8</v>
      </c>
      <c r="B8" s="20">
        <v>10000</v>
      </c>
    </row>
    <row r="9" spans="1:8" x14ac:dyDescent="0.4">
      <c r="B9" s="20">
        <f>SUM(B2:B8)</f>
        <v>1000000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54"/>
  <sheetViews>
    <sheetView topLeftCell="E1" workbookViewId="0">
      <selection activeCell="G12" sqref="G12"/>
    </sheetView>
  </sheetViews>
  <sheetFormatPr defaultRowHeight="17.399999999999999" x14ac:dyDescent="0.4"/>
  <cols>
    <col min="1" max="10" width="11" bestFit="1" customWidth="1"/>
    <col min="11" max="22" width="12.09765625" bestFit="1" customWidth="1"/>
    <col min="23" max="23" width="8.69921875" bestFit="1" customWidth="1"/>
  </cols>
  <sheetData>
    <row r="1" spans="1:23" ht="18" thickBot="1" x14ac:dyDescent="0.4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15"/>
    </row>
    <row r="2" spans="1:23" x14ac:dyDescent="0.4">
      <c r="A2" s="2">
        <v>1</v>
      </c>
      <c r="B2" s="18">
        <v>550000</v>
      </c>
      <c r="C2" s="2">
        <v>350000</v>
      </c>
      <c r="D2" s="2">
        <v>100000</v>
      </c>
      <c r="E2" s="2">
        <v>0</v>
      </c>
      <c r="F2" s="2">
        <v>0</v>
      </c>
      <c r="G2" s="2">
        <v>0</v>
      </c>
      <c r="H2" s="2">
        <v>0</v>
      </c>
      <c r="I2" s="25">
        <f>SUM(B2:H2)</f>
        <v>1000000</v>
      </c>
      <c r="W2" s="2"/>
    </row>
    <row r="3" spans="1:23" x14ac:dyDescent="0.4">
      <c r="A3" s="2">
        <v>2</v>
      </c>
      <c r="B3" s="19">
        <v>484500</v>
      </c>
      <c r="C3" s="19">
        <v>335500</v>
      </c>
      <c r="D3" s="19">
        <v>150000</v>
      </c>
      <c r="E3" s="19">
        <v>30000</v>
      </c>
      <c r="F3" s="4">
        <v>0</v>
      </c>
      <c r="G3" s="4">
        <v>0</v>
      </c>
      <c r="H3" s="4">
        <v>0</v>
      </c>
      <c r="I3" s="25">
        <f t="shared" ref="I3:I11" si="0">SUM(B3:H3)</f>
        <v>1000000</v>
      </c>
      <c r="W3" s="2"/>
    </row>
    <row r="4" spans="1:23" x14ac:dyDescent="0.4">
      <c r="A4" s="2">
        <v>3</v>
      </c>
      <c r="B4" s="19">
        <v>450600</v>
      </c>
      <c r="C4" s="19">
        <v>320600</v>
      </c>
      <c r="D4" s="19">
        <v>148800</v>
      </c>
      <c r="E4" s="19">
        <v>80000</v>
      </c>
      <c r="F4" s="4">
        <v>0</v>
      </c>
      <c r="G4" s="4">
        <v>0</v>
      </c>
      <c r="H4" s="4">
        <v>0</v>
      </c>
      <c r="I4" s="25">
        <f t="shared" si="0"/>
        <v>1000000</v>
      </c>
      <c r="W4" s="2"/>
    </row>
    <row r="5" spans="1:23" x14ac:dyDescent="0.4">
      <c r="A5" s="2">
        <v>4</v>
      </c>
      <c r="B5" s="19">
        <v>437900</v>
      </c>
      <c r="C5" s="19">
        <v>309700</v>
      </c>
      <c r="D5" s="19">
        <v>147400</v>
      </c>
      <c r="E5" s="19">
        <v>100000</v>
      </c>
      <c r="F5" s="4">
        <v>5000</v>
      </c>
      <c r="G5" s="4">
        <v>0</v>
      </c>
      <c r="H5" s="4">
        <v>0</v>
      </c>
      <c r="I5" s="25">
        <f t="shared" si="0"/>
        <v>1000000</v>
      </c>
      <c r="W5" s="2"/>
    </row>
    <row r="6" spans="1:23" x14ac:dyDescent="0.4">
      <c r="A6" s="2">
        <v>5</v>
      </c>
      <c r="B6" s="19">
        <v>429300</v>
      </c>
      <c r="C6" s="19">
        <v>306600</v>
      </c>
      <c r="D6" s="19">
        <v>145600</v>
      </c>
      <c r="E6" s="19">
        <v>108500</v>
      </c>
      <c r="F6" s="4">
        <v>10000</v>
      </c>
      <c r="G6" s="4">
        <v>0</v>
      </c>
      <c r="H6" s="4">
        <v>0</v>
      </c>
      <c r="I6" s="25">
        <f t="shared" si="0"/>
        <v>1000000</v>
      </c>
      <c r="W6" s="2"/>
    </row>
    <row r="7" spans="1:23" x14ac:dyDescent="0.4">
      <c r="A7" s="2">
        <v>6</v>
      </c>
      <c r="B7" s="19">
        <v>402400</v>
      </c>
      <c r="C7" s="19">
        <v>290400</v>
      </c>
      <c r="D7" s="19">
        <v>142100</v>
      </c>
      <c r="E7" s="19">
        <v>112100</v>
      </c>
      <c r="F7" s="19">
        <v>50000</v>
      </c>
      <c r="G7" s="4">
        <v>3000</v>
      </c>
      <c r="H7" s="4">
        <v>0</v>
      </c>
      <c r="I7" s="25">
        <f t="shared" si="0"/>
        <v>1000000</v>
      </c>
      <c r="K7" s="2"/>
      <c r="L7" s="2" t="s">
        <v>38</v>
      </c>
      <c r="W7" s="2"/>
    </row>
    <row r="8" spans="1:23" x14ac:dyDescent="0.4">
      <c r="A8" s="2">
        <v>7</v>
      </c>
      <c r="B8" s="19">
        <v>393600</v>
      </c>
      <c r="C8" s="19">
        <v>271700</v>
      </c>
      <c r="D8" s="19">
        <v>140400</v>
      </c>
      <c r="E8" s="19">
        <v>114300</v>
      </c>
      <c r="F8" s="19">
        <v>70000</v>
      </c>
      <c r="G8" s="4">
        <v>10000</v>
      </c>
      <c r="H8" s="4">
        <v>0</v>
      </c>
      <c r="I8" s="25">
        <f t="shared" si="0"/>
        <v>1000000</v>
      </c>
      <c r="K8" s="16">
        <v>1</v>
      </c>
      <c r="L8" s="2">
        <v>4000</v>
      </c>
      <c r="W8" s="2"/>
    </row>
    <row r="9" spans="1:23" x14ac:dyDescent="0.4">
      <c r="A9" s="2">
        <v>8</v>
      </c>
      <c r="B9" s="19">
        <v>389700</v>
      </c>
      <c r="C9" s="19">
        <v>241200</v>
      </c>
      <c r="D9" s="19">
        <v>139500</v>
      </c>
      <c r="E9" s="19">
        <v>118600</v>
      </c>
      <c r="F9" s="19">
        <v>80000</v>
      </c>
      <c r="G9" s="4">
        <v>30000</v>
      </c>
      <c r="H9" s="4">
        <v>1000</v>
      </c>
      <c r="I9" s="25">
        <f t="shared" si="0"/>
        <v>1000000</v>
      </c>
      <c r="K9">
        <v>2</v>
      </c>
      <c r="L9" s="2">
        <v>3500</v>
      </c>
      <c r="W9" s="2"/>
    </row>
    <row r="10" spans="1:23" x14ac:dyDescent="0.4">
      <c r="A10" s="2">
        <v>9</v>
      </c>
      <c r="B10" s="19">
        <v>325400</v>
      </c>
      <c r="C10" s="19">
        <v>218600</v>
      </c>
      <c r="D10" s="19">
        <v>136700</v>
      </c>
      <c r="E10" s="19">
        <v>119300</v>
      </c>
      <c r="F10" s="19">
        <v>90000</v>
      </c>
      <c r="G10" s="4">
        <v>60000</v>
      </c>
      <c r="H10" s="4">
        <v>50000</v>
      </c>
      <c r="I10" s="25">
        <f t="shared" si="0"/>
        <v>1000000</v>
      </c>
      <c r="K10">
        <v>3</v>
      </c>
      <c r="L10" s="2">
        <v>1500</v>
      </c>
      <c r="W10" s="2"/>
    </row>
    <row r="11" spans="1:23" x14ac:dyDescent="0.4">
      <c r="A11" s="2">
        <v>10</v>
      </c>
      <c r="B11" s="19">
        <f>275200-47200</f>
        <v>228000</v>
      </c>
      <c r="C11" s="19">
        <v>172000</v>
      </c>
      <c r="D11" s="19">
        <v>140000</v>
      </c>
      <c r="E11" s="19">
        <v>130000</v>
      </c>
      <c r="F11" s="19">
        <v>120000</v>
      </c>
      <c r="G11" s="19">
        <v>110000</v>
      </c>
      <c r="H11" s="19">
        <v>100000</v>
      </c>
      <c r="I11" s="25">
        <f t="shared" si="0"/>
        <v>1000000</v>
      </c>
      <c r="K11">
        <v>4</v>
      </c>
      <c r="L11" s="2">
        <v>550</v>
      </c>
      <c r="W11" s="2"/>
    </row>
    <row r="12" spans="1:23" x14ac:dyDescent="0.4">
      <c r="A12" s="2"/>
      <c r="B12" s="19"/>
      <c r="C12" s="19"/>
      <c r="D12" s="19"/>
      <c r="E12" s="19"/>
      <c r="F12" s="19"/>
      <c r="G12" s="19"/>
      <c r="H12" s="4"/>
      <c r="I12" s="21"/>
      <c r="K12">
        <v>5</v>
      </c>
      <c r="L12" s="2">
        <v>450</v>
      </c>
    </row>
    <row r="13" spans="1:23" x14ac:dyDescent="0.4">
      <c r="A13" s="2"/>
      <c r="B13" s="19"/>
      <c r="C13" s="19"/>
      <c r="D13" s="19"/>
      <c r="E13" s="19"/>
      <c r="F13" s="19"/>
      <c r="G13" s="19"/>
      <c r="H13" s="4"/>
      <c r="I13" s="21"/>
      <c r="L13" s="4">
        <f>SUM(L8:L12)</f>
        <v>10000</v>
      </c>
    </row>
    <row r="14" spans="1:23" x14ac:dyDescent="0.4">
      <c r="A14" s="2"/>
      <c r="B14" s="19"/>
      <c r="C14" s="19"/>
      <c r="D14" s="19"/>
      <c r="E14" s="19"/>
      <c r="F14" s="19"/>
      <c r="G14" s="19"/>
      <c r="H14" s="4"/>
      <c r="I14" s="21"/>
    </row>
    <row r="15" spans="1:23" x14ac:dyDescent="0.4">
      <c r="A15" s="2"/>
      <c r="B15" s="19"/>
      <c r="C15" s="19"/>
      <c r="D15" s="19"/>
      <c r="E15" s="19"/>
      <c r="F15" s="19"/>
      <c r="G15" s="19"/>
      <c r="H15" s="4"/>
      <c r="I15" s="21"/>
    </row>
    <row r="16" spans="1:23" x14ac:dyDescent="0.4">
      <c r="A16" s="2"/>
      <c r="B16" s="19"/>
      <c r="C16" s="19"/>
      <c r="D16" s="19"/>
      <c r="E16" s="19"/>
      <c r="F16" s="19"/>
      <c r="G16" s="19"/>
      <c r="H16" s="4"/>
      <c r="I16" s="21"/>
      <c r="K16" s="17" t="s">
        <v>37</v>
      </c>
      <c r="L16" s="17">
        <v>6</v>
      </c>
    </row>
    <row r="17" spans="1:19" x14ac:dyDescent="0.4">
      <c r="A17" s="2"/>
      <c r="B17" s="19"/>
      <c r="C17" s="19"/>
      <c r="D17" s="19"/>
      <c r="E17" s="19"/>
      <c r="F17" s="19"/>
      <c r="G17" s="19"/>
      <c r="H17" s="4"/>
      <c r="I17" s="21"/>
      <c r="L17" t="s">
        <v>35</v>
      </c>
      <c r="M17" t="s">
        <v>19</v>
      </c>
      <c r="N17" t="s">
        <v>20</v>
      </c>
      <c r="O17" t="s">
        <v>36</v>
      </c>
      <c r="P17" t="s">
        <v>21</v>
      </c>
      <c r="Q17" t="s">
        <v>22</v>
      </c>
      <c r="R17" t="s">
        <v>23</v>
      </c>
    </row>
    <row r="18" spans="1:19" x14ac:dyDescent="0.4">
      <c r="A18" s="2"/>
      <c r="B18" s="19"/>
      <c r="C18" s="19"/>
      <c r="D18" s="19"/>
      <c r="E18" s="19"/>
      <c r="F18" s="19"/>
      <c r="G18" s="19"/>
      <c r="H18" s="4"/>
      <c r="I18" s="21"/>
      <c r="J18" s="2"/>
      <c r="K18">
        <v>1</v>
      </c>
      <c r="L18">
        <f t="shared" ref="L18:R22" ca="1" si="1">OFFSET(B$2, ($L$16-1), 0)/OFFSET($I$2, ($L$16-1), 0) * $L8/$L$13</f>
        <v>0.16095999999999999</v>
      </c>
      <c r="M18">
        <f t="shared" ca="1" si="1"/>
        <v>0.11615999999999999</v>
      </c>
      <c r="N18">
        <f t="shared" ca="1" si="1"/>
        <v>5.6839999999999995E-2</v>
      </c>
      <c r="O18">
        <f t="shared" ca="1" si="1"/>
        <v>4.4840000000000005E-2</v>
      </c>
      <c r="P18">
        <f t="shared" ca="1" si="1"/>
        <v>0.02</v>
      </c>
      <c r="Q18">
        <f t="shared" ca="1" si="1"/>
        <v>1.1999999999999999E-3</v>
      </c>
      <c r="R18">
        <f t="shared" ca="1" si="1"/>
        <v>0</v>
      </c>
    </row>
    <row r="19" spans="1:19" x14ac:dyDescent="0.4">
      <c r="A19" s="2"/>
      <c r="B19" s="19"/>
      <c r="C19" s="19"/>
      <c r="D19" s="19"/>
      <c r="E19" s="19"/>
      <c r="F19" s="19"/>
      <c r="G19" s="19"/>
      <c r="H19" s="19"/>
      <c r="I19" s="21"/>
      <c r="J19" s="2"/>
      <c r="K19">
        <v>2</v>
      </c>
      <c r="L19">
        <f t="shared" ca="1" si="1"/>
        <v>0.14083999999999999</v>
      </c>
      <c r="M19">
        <f t="shared" ca="1" si="1"/>
        <v>0.10163999999999999</v>
      </c>
      <c r="N19">
        <f t="shared" ca="1" si="1"/>
        <v>4.9735000000000001E-2</v>
      </c>
      <c r="O19">
        <f t="shared" ca="1" si="1"/>
        <v>3.9234999999999999E-2</v>
      </c>
      <c r="P19">
        <f t="shared" ca="1" si="1"/>
        <v>1.7500000000000002E-2</v>
      </c>
      <c r="Q19">
        <f t="shared" ca="1" si="1"/>
        <v>1.0499999999999999E-3</v>
      </c>
      <c r="R19">
        <f t="shared" ca="1" si="1"/>
        <v>0</v>
      </c>
    </row>
    <row r="20" spans="1:19" x14ac:dyDescent="0.4">
      <c r="A20" s="2"/>
      <c r="B20" s="19"/>
      <c r="C20" s="19"/>
      <c r="D20" s="19"/>
      <c r="E20" s="19"/>
      <c r="F20" s="19"/>
      <c r="G20" s="19"/>
      <c r="H20" s="19"/>
      <c r="I20" s="21"/>
      <c r="K20">
        <v>3</v>
      </c>
      <c r="L20">
        <f t="shared" ca="1" si="1"/>
        <v>6.0360000000000004E-2</v>
      </c>
      <c r="M20">
        <f t="shared" ca="1" si="1"/>
        <v>4.3559999999999995E-2</v>
      </c>
      <c r="N20">
        <f t="shared" ca="1" si="1"/>
        <v>2.1315000000000001E-2</v>
      </c>
      <c r="O20">
        <f t="shared" ca="1" si="1"/>
        <v>1.6815E-2</v>
      </c>
      <c r="P20">
        <f t="shared" ca="1" si="1"/>
        <v>7.4999999999999997E-3</v>
      </c>
      <c r="Q20">
        <f t="shared" ca="1" si="1"/>
        <v>4.4999999999999999E-4</v>
      </c>
      <c r="R20">
        <f t="shared" ca="1" si="1"/>
        <v>0</v>
      </c>
    </row>
    <row r="21" spans="1:19" x14ac:dyDescent="0.4">
      <c r="A21" s="2"/>
      <c r="B21" s="19"/>
      <c r="C21" s="19"/>
      <c r="D21" s="19"/>
      <c r="E21" s="19"/>
      <c r="F21" s="19"/>
      <c r="G21" s="19"/>
      <c r="H21" s="19"/>
      <c r="I21" s="21"/>
      <c r="K21">
        <v>4</v>
      </c>
      <c r="L21">
        <f t="shared" ca="1" si="1"/>
        <v>2.2131999999999999E-2</v>
      </c>
      <c r="M21">
        <f t="shared" ca="1" si="1"/>
        <v>1.5972E-2</v>
      </c>
      <c r="N21">
        <f t="shared" ca="1" si="1"/>
        <v>7.8154999999999995E-3</v>
      </c>
      <c r="O21">
        <f t="shared" ca="1" si="1"/>
        <v>6.1655E-3</v>
      </c>
      <c r="P21">
        <f t="shared" ca="1" si="1"/>
        <v>2.7499999999999998E-3</v>
      </c>
      <c r="Q21">
        <f t="shared" ca="1" si="1"/>
        <v>1.6500000000000003E-4</v>
      </c>
      <c r="R21">
        <f t="shared" ca="1" si="1"/>
        <v>0</v>
      </c>
    </row>
    <row r="22" spans="1:19" x14ac:dyDescent="0.4">
      <c r="A22" s="2"/>
      <c r="B22" s="19"/>
      <c r="C22" s="19"/>
      <c r="D22" s="19"/>
      <c r="E22" s="19"/>
      <c r="F22" s="19"/>
      <c r="G22" s="19"/>
      <c r="H22" s="19"/>
      <c r="I22" s="21"/>
      <c r="K22">
        <v>5</v>
      </c>
      <c r="L22">
        <f t="shared" ca="1" si="1"/>
        <v>1.8107999999999999E-2</v>
      </c>
      <c r="M22">
        <f t="shared" ca="1" si="1"/>
        <v>1.3068000000000001E-2</v>
      </c>
      <c r="N22">
        <f t="shared" ca="1" si="1"/>
        <v>6.3945E-3</v>
      </c>
      <c r="O22">
        <f t="shared" ca="1" si="1"/>
        <v>5.0445000000000004E-3</v>
      </c>
      <c r="P22">
        <f t="shared" ca="1" si="1"/>
        <v>2.2499999999999998E-3</v>
      </c>
      <c r="Q22">
        <f t="shared" ca="1" si="1"/>
        <v>1.35E-4</v>
      </c>
      <c r="R22">
        <f t="shared" ca="1" si="1"/>
        <v>0</v>
      </c>
    </row>
    <row r="23" spans="1:19" x14ac:dyDescent="0.4">
      <c r="A23" s="15"/>
      <c r="I23" s="2"/>
    </row>
    <row r="24" spans="1:19" x14ac:dyDescent="0.4">
      <c r="B24" s="2"/>
      <c r="C24" s="2"/>
      <c r="D24" s="2"/>
      <c r="E24" s="2"/>
      <c r="F24" s="2"/>
      <c r="G24" s="2"/>
      <c r="H24" s="2"/>
      <c r="L24">
        <f ca="1">SUM(L18:L22)</f>
        <v>0.40239999999999998</v>
      </c>
      <c r="M24">
        <f t="shared" ref="M24:R24" ca="1" si="2">SUM(M18:M22)</f>
        <v>0.29039999999999999</v>
      </c>
      <c r="N24">
        <f t="shared" ca="1" si="2"/>
        <v>0.1421</v>
      </c>
      <c r="O24">
        <f t="shared" ca="1" si="2"/>
        <v>0.11210000000000001</v>
      </c>
      <c r="P24">
        <f t="shared" ca="1" si="2"/>
        <v>5.000000000000001E-2</v>
      </c>
      <c r="Q24">
        <f t="shared" ca="1" si="2"/>
        <v>3.0000000000000001E-3</v>
      </c>
      <c r="R24">
        <f t="shared" ca="1" si="2"/>
        <v>0</v>
      </c>
      <c r="S24">
        <f ca="1">SUM(L24:R24)</f>
        <v>1</v>
      </c>
    </row>
    <row r="31" spans="1:19" x14ac:dyDescent="0.4">
      <c r="C31" t="s">
        <v>34</v>
      </c>
    </row>
    <row r="32" spans="1:19" x14ac:dyDescent="0.4">
      <c r="C32" s="14" t="s">
        <v>28</v>
      </c>
    </row>
    <row r="33" spans="3:19" ht="18" thickBot="1" x14ac:dyDescent="0.45"/>
    <row r="34" spans="3:19" x14ac:dyDescent="0.4">
      <c r="C34" s="6" t="s">
        <v>26</v>
      </c>
      <c r="D34" s="7">
        <v>0</v>
      </c>
      <c r="E34" s="7">
        <v>4830</v>
      </c>
      <c r="F34" s="7">
        <v>3000</v>
      </c>
      <c r="G34" s="7">
        <v>2000</v>
      </c>
      <c r="H34" s="7">
        <v>150</v>
      </c>
      <c r="I34" s="7">
        <v>20</v>
      </c>
      <c r="J34" s="8">
        <f>SUM(D34:I34)</f>
        <v>10000</v>
      </c>
      <c r="L34" s="6" t="s">
        <v>27</v>
      </c>
      <c r="M34" s="7">
        <v>74670</v>
      </c>
      <c r="N34" s="7">
        <v>564280</v>
      </c>
      <c r="O34" s="7">
        <v>300000</v>
      </c>
      <c r="P34" s="7">
        <v>60000</v>
      </c>
      <c r="Q34" s="7">
        <v>1000</v>
      </c>
      <c r="R34" s="7">
        <v>50</v>
      </c>
      <c r="S34" s="8">
        <f>SUM(M34:R34)</f>
        <v>1000000</v>
      </c>
    </row>
    <row r="35" spans="3:19" x14ac:dyDescent="0.4">
      <c r="C35" s="9"/>
      <c r="D35" t="s">
        <v>19</v>
      </c>
      <c r="E35" t="s">
        <v>20</v>
      </c>
      <c r="F35" t="s">
        <v>21</v>
      </c>
      <c r="G35" t="s">
        <v>22</v>
      </c>
      <c r="H35" t="s">
        <v>23</v>
      </c>
      <c r="I35" t="s">
        <v>24</v>
      </c>
      <c r="J35" s="10"/>
      <c r="L35" s="9"/>
      <c r="M35" t="s">
        <v>19</v>
      </c>
      <c r="N35" t="s">
        <v>20</v>
      </c>
      <c r="O35" t="s">
        <v>21</v>
      </c>
      <c r="P35" t="s">
        <v>22</v>
      </c>
      <c r="Q35" t="s">
        <v>23</v>
      </c>
      <c r="R35" t="s">
        <v>24</v>
      </c>
      <c r="S35" s="10"/>
    </row>
    <row r="36" spans="3:19" x14ac:dyDescent="0.4">
      <c r="C36" s="9">
        <v>8</v>
      </c>
      <c r="D36">
        <v>2000</v>
      </c>
      <c r="E36">
        <v>2000</v>
      </c>
      <c r="F36">
        <v>2400</v>
      </c>
      <c r="J36" s="10"/>
      <c r="L36" s="9">
        <v>8</v>
      </c>
      <c r="M36">
        <v>2000</v>
      </c>
      <c r="N36">
        <v>2000</v>
      </c>
      <c r="O36">
        <v>2400</v>
      </c>
      <c r="S36" s="10"/>
    </row>
    <row r="37" spans="3:19" x14ac:dyDescent="0.4">
      <c r="C37" s="9">
        <v>7</v>
      </c>
      <c r="D37">
        <v>1785</v>
      </c>
      <c r="E37">
        <v>1785</v>
      </c>
      <c r="F37">
        <v>1950</v>
      </c>
      <c r="J37" s="10"/>
      <c r="L37" s="9">
        <v>7</v>
      </c>
      <c r="M37">
        <v>1785</v>
      </c>
      <c r="N37">
        <v>1785</v>
      </c>
      <c r="O37">
        <v>1950</v>
      </c>
      <c r="S37" s="10"/>
    </row>
    <row r="38" spans="3:19" x14ac:dyDescent="0.4">
      <c r="C38" s="9">
        <v>6</v>
      </c>
      <c r="D38">
        <v>1570</v>
      </c>
      <c r="E38">
        <v>1570</v>
      </c>
      <c r="F38">
        <v>1700</v>
      </c>
      <c r="J38" s="10"/>
      <c r="L38" s="9">
        <v>6</v>
      </c>
      <c r="M38">
        <v>1570</v>
      </c>
      <c r="N38">
        <v>1570</v>
      </c>
      <c r="O38">
        <v>1700</v>
      </c>
      <c r="S38" s="10"/>
    </row>
    <row r="39" spans="3:19" x14ac:dyDescent="0.4">
      <c r="C39" s="9">
        <v>5</v>
      </c>
      <c r="D39">
        <v>1355</v>
      </c>
      <c r="E39">
        <v>1355</v>
      </c>
      <c r="F39">
        <v>1450</v>
      </c>
      <c r="J39" s="10"/>
      <c r="L39" s="9">
        <v>5</v>
      </c>
      <c r="M39">
        <v>1355</v>
      </c>
      <c r="N39">
        <v>1355</v>
      </c>
      <c r="O39">
        <v>1450</v>
      </c>
      <c r="S39" s="10"/>
    </row>
    <row r="40" spans="3:19" x14ac:dyDescent="0.4">
      <c r="C40" s="9">
        <v>4</v>
      </c>
      <c r="D40">
        <v>1140</v>
      </c>
      <c r="E40">
        <v>1140</v>
      </c>
      <c r="F40">
        <v>800</v>
      </c>
      <c r="G40">
        <v>4500</v>
      </c>
      <c r="H40">
        <v>4000</v>
      </c>
      <c r="I40">
        <v>6250</v>
      </c>
      <c r="J40" s="10"/>
      <c r="L40" s="9">
        <v>4</v>
      </c>
      <c r="M40">
        <v>1140</v>
      </c>
      <c r="N40">
        <v>1140</v>
      </c>
      <c r="O40">
        <v>800</v>
      </c>
      <c r="P40">
        <v>4500</v>
      </c>
      <c r="Q40">
        <v>4000</v>
      </c>
      <c r="R40">
        <v>8000</v>
      </c>
      <c r="S40" s="10"/>
    </row>
    <row r="41" spans="3:19" x14ac:dyDescent="0.4">
      <c r="C41" s="9">
        <v>3</v>
      </c>
      <c r="D41">
        <v>925</v>
      </c>
      <c r="E41">
        <v>925</v>
      </c>
      <c r="F41">
        <v>800</v>
      </c>
      <c r="G41">
        <v>4000</v>
      </c>
      <c r="H41">
        <v>3000</v>
      </c>
      <c r="I41">
        <v>3000</v>
      </c>
      <c r="J41" s="10"/>
      <c r="L41" s="9">
        <v>3</v>
      </c>
      <c r="M41">
        <v>925</v>
      </c>
      <c r="N41">
        <v>925</v>
      </c>
      <c r="O41">
        <v>800</v>
      </c>
      <c r="P41">
        <v>4000</v>
      </c>
      <c r="Q41">
        <v>3000</v>
      </c>
      <c r="R41">
        <v>2000</v>
      </c>
      <c r="S41" s="10"/>
    </row>
    <row r="42" spans="3:19" x14ac:dyDescent="0.4">
      <c r="C42" s="9">
        <v>2</v>
      </c>
      <c r="D42">
        <v>710</v>
      </c>
      <c r="E42">
        <v>710</v>
      </c>
      <c r="F42">
        <v>500</v>
      </c>
      <c r="G42">
        <v>1000</v>
      </c>
      <c r="H42">
        <v>2000</v>
      </c>
      <c r="I42">
        <v>500</v>
      </c>
      <c r="J42" s="10"/>
      <c r="L42" s="9">
        <v>2</v>
      </c>
      <c r="M42">
        <v>710</v>
      </c>
      <c r="N42">
        <v>710</v>
      </c>
      <c r="O42">
        <v>500</v>
      </c>
      <c r="P42">
        <v>1000</v>
      </c>
      <c r="Q42">
        <v>2000</v>
      </c>
      <c r="S42" s="10"/>
    </row>
    <row r="43" spans="3:19" x14ac:dyDescent="0.4">
      <c r="C43" s="9">
        <v>1</v>
      </c>
      <c r="D43">
        <v>515</v>
      </c>
      <c r="E43">
        <v>515</v>
      </c>
      <c r="F43">
        <v>400</v>
      </c>
      <c r="G43">
        <v>500</v>
      </c>
      <c r="H43">
        <v>1000</v>
      </c>
      <c r="I43">
        <v>250</v>
      </c>
      <c r="J43" s="10"/>
      <c r="L43" s="9">
        <v>1</v>
      </c>
      <c r="M43">
        <v>515</v>
      </c>
      <c r="N43">
        <v>515</v>
      </c>
      <c r="O43">
        <v>400</v>
      </c>
      <c r="P43">
        <v>500</v>
      </c>
      <c r="Q43">
        <v>1000</v>
      </c>
      <c r="S43" s="10"/>
    </row>
    <row r="44" spans="3:19" ht="18" thickBot="1" x14ac:dyDescent="0.45">
      <c r="C44" s="11"/>
      <c r="D44" s="12">
        <f>SUM(D36:D43)</f>
        <v>10000</v>
      </c>
      <c r="E44" s="12">
        <f t="shared" ref="E44:I44" si="3">SUM(E36:E43)</f>
        <v>10000</v>
      </c>
      <c r="F44" s="12">
        <f t="shared" si="3"/>
        <v>10000</v>
      </c>
      <c r="G44" s="12">
        <f t="shared" si="3"/>
        <v>10000</v>
      </c>
      <c r="H44" s="12">
        <f t="shared" si="3"/>
        <v>10000</v>
      </c>
      <c r="I44" s="12">
        <f t="shared" si="3"/>
        <v>10000</v>
      </c>
      <c r="J44" s="13"/>
      <c r="L44" s="11"/>
      <c r="M44" s="12">
        <f>SUM(M36:M43)</f>
        <v>10000</v>
      </c>
      <c r="N44" s="12">
        <f t="shared" ref="N44:R44" si="4">SUM(N36:N43)</f>
        <v>10000</v>
      </c>
      <c r="O44" s="12">
        <f t="shared" si="4"/>
        <v>10000</v>
      </c>
      <c r="P44" s="12">
        <f t="shared" si="4"/>
        <v>10000</v>
      </c>
      <c r="Q44" s="12">
        <f t="shared" si="4"/>
        <v>10000</v>
      </c>
      <c r="R44" s="12">
        <f t="shared" si="4"/>
        <v>10000</v>
      </c>
      <c r="S44" s="13"/>
    </row>
    <row r="45" spans="3:19" ht="18" thickBot="1" x14ac:dyDescent="0.45"/>
    <row r="46" spans="3:19" x14ac:dyDescent="0.4">
      <c r="C46" s="6" t="s">
        <v>25</v>
      </c>
      <c r="D46" s="7" t="s">
        <v>19</v>
      </c>
      <c r="E46" s="7" t="s">
        <v>20</v>
      </c>
      <c r="F46" s="7" t="s">
        <v>21</v>
      </c>
      <c r="G46" s="7" t="s">
        <v>22</v>
      </c>
      <c r="H46" s="7" t="s">
        <v>23</v>
      </c>
      <c r="I46" s="8" t="s">
        <v>24</v>
      </c>
      <c r="L46" s="6" t="s">
        <v>27</v>
      </c>
      <c r="M46" s="7" t="s">
        <v>19</v>
      </c>
      <c r="N46" s="7" t="s">
        <v>20</v>
      </c>
      <c r="O46" s="7" t="s">
        <v>21</v>
      </c>
      <c r="P46" s="7" t="s">
        <v>22</v>
      </c>
      <c r="Q46" s="7" t="s">
        <v>23</v>
      </c>
      <c r="R46" s="8" t="s">
        <v>24</v>
      </c>
    </row>
    <row r="47" spans="3:19" x14ac:dyDescent="0.4">
      <c r="C47" s="9">
        <v>8</v>
      </c>
      <c r="D47">
        <f>B$14/$J$34 * D36/D$44</f>
        <v>0</v>
      </c>
      <c r="E47">
        <f t="shared" ref="E47:I47" si="5">C$14/$J$34 * E36/E$44</f>
        <v>0</v>
      </c>
      <c r="F47">
        <f t="shared" si="5"/>
        <v>0</v>
      </c>
      <c r="G47">
        <f t="shared" si="5"/>
        <v>0</v>
      </c>
      <c r="H47">
        <f t="shared" si="5"/>
        <v>0</v>
      </c>
      <c r="I47" s="10">
        <f t="shared" si="5"/>
        <v>0</v>
      </c>
      <c r="L47" s="9">
        <v>8</v>
      </c>
      <c r="M47">
        <f t="shared" ref="M47:R54" si="6">M$34/$S$34 * M36/M$44</f>
        <v>1.4934000000000001E-2</v>
      </c>
      <c r="N47">
        <f t="shared" si="6"/>
        <v>0.112856</v>
      </c>
      <c r="O47">
        <f t="shared" si="6"/>
        <v>7.1999999999999995E-2</v>
      </c>
      <c r="P47">
        <f t="shared" si="6"/>
        <v>0</v>
      </c>
      <c r="Q47">
        <f t="shared" si="6"/>
        <v>0</v>
      </c>
      <c r="R47" s="10">
        <f t="shared" si="6"/>
        <v>0</v>
      </c>
    </row>
    <row r="48" spans="3:19" x14ac:dyDescent="0.4">
      <c r="C48" s="9">
        <v>7</v>
      </c>
      <c r="D48">
        <f t="shared" ref="D48:D54" si="7">B$14/$J$34 * D37/D$44</f>
        <v>0</v>
      </c>
      <c r="E48">
        <f t="shared" ref="E48:E54" si="8">C$14/$J$34 * E37/E$44</f>
        <v>0</v>
      </c>
      <c r="F48">
        <f t="shared" ref="F48:F54" si="9">D$14/$J$34 * F37/F$44</f>
        <v>0</v>
      </c>
      <c r="G48">
        <f t="shared" ref="G48:G54" si="10">E$14/$J$34 * G37/G$44</f>
        <v>0</v>
      </c>
      <c r="H48">
        <f t="shared" ref="H48:H54" si="11">F$14/$J$34 * H37/H$44</f>
        <v>0</v>
      </c>
      <c r="I48" s="10">
        <f t="shared" ref="I48:I54" si="12">G$14/$J$34 * I37/I$44</f>
        <v>0</v>
      </c>
      <c r="L48" s="9">
        <v>7</v>
      </c>
      <c r="M48">
        <f t="shared" si="6"/>
        <v>1.3328595000000002E-2</v>
      </c>
      <c r="N48">
        <f t="shared" si="6"/>
        <v>0.10072398</v>
      </c>
      <c r="O48">
        <f t="shared" si="6"/>
        <v>5.8500000000000003E-2</v>
      </c>
      <c r="P48">
        <f t="shared" si="6"/>
        <v>0</v>
      </c>
      <c r="Q48">
        <f t="shared" si="6"/>
        <v>0</v>
      </c>
      <c r="R48" s="10">
        <f t="shared" si="6"/>
        <v>0</v>
      </c>
    </row>
    <row r="49" spans="3:18" x14ac:dyDescent="0.4">
      <c r="C49" s="9">
        <v>6</v>
      </c>
      <c r="D49">
        <f t="shared" si="7"/>
        <v>0</v>
      </c>
      <c r="E49">
        <f t="shared" si="8"/>
        <v>0</v>
      </c>
      <c r="F49">
        <f t="shared" si="9"/>
        <v>0</v>
      </c>
      <c r="G49">
        <f t="shared" si="10"/>
        <v>0</v>
      </c>
      <c r="H49">
        <f t="shared" si="11"/>
        <v>0</v>
      </c>
      <c r="I49" s="10">
        <f t="shared" si="12"/>
        <v>0</v>
      </c>
      <c r="L49" s="9">
        <v>6</v>
      </c>
      <c r="M49">
        <f t="shared" si="6"/>
        <v>1.172319E-2</v>
      </c>
      <c r="N49">
        <f t="shared" si="6"/>
        <v>8.8591960000000011E-2</v>
      </c>
      <c r="O49">
        <f t="shared" si="6"/>
        <v>5.0999999999999997E-2</v>
      </c>
      <c r="P49">
        <f t="shared" si="6"/>
        <v>0</v>
      </c>
      <c r="Q49">
        <f t="shared" si="6"/>
        <v>0</v>
      </c>
      <c r="R49" s="10">
        <f t="shared" si="6"/>
        <v>0</v>
      </c>
    </row>
    <row r="50" spans="3:18" x14ac:dyDescent="0.4">
      <c r="C50" s="9">
        <v>5</v>
      </c>
      <c r="D50">
        <f t="shared" si="7"/>
        <v>0</v>
      </c>
      <c r="E50">
        <f t="shared" si="8"/>
        <v>0</v>
      </c>
      <c r="F50">
        <f t="shared" si="9"/>
        <v>0</v>
      </c>
      <c r="G50">
        <f t="shared" si="10"/>
        <v>0</v>
      </c>
      <c r="H50">
        <f t="shared" si="11"/>
        <v>0</v>
      </c>
      <c r="I50" s="10">
        <f t="shared" si="12"/>
        <v>0</v>
      </c>
      <c r="L50" s="9">
        <v>5</v>
      </c>
      <c r="M50">
        <f t="shared" si="6"/>
        <v>1.0117785000000001E-2</v>
      </c>
      <c r="N50">
        <f t="shared" si="6"/>
        <v>7.6459940000000004E-2</v>
      </c>
      <c r="O50">
        <f t="shared" si="6"/>
        <v>4.3499999999999997E-2</v>
      </c>
      <c r="P50">
        <f t="shared" si="6"/>
        <v>0</v>
      </c>
      <c r="Q50">
        <f t="shared" si="6"/>
        <v>0</v>
      </c>
      <c r="R50" s="10">
        <f t="shared" si="6"/>
        <v>0</v>
      </c>
    </row>
    <row r="51" spans="3:18" x14ac:dyDescent="0.4">
      <c r="C51" s="9">
        <v>4</v>
      </c>
      <c r="D51">
        <f t="shared" si="7"/>
        <v>0</v>
      </c>
      <c r="E51">
        <f t="shared" si="8"/>
        <v>0</v>
      </c>
      <c r="F51">
        <f t="shared" si="9"/>
        <v>0</v>
      </c>
      <c r="G51">
        <f t="shared" si="10"/>
        <v>0</v>
      </c>
      <c r="H51">
        <f t="shared" si="11"/>
        <v>0</v>
      </c>
      <c r="I51" s="10">
        <f t="shared" si="12"/>
        <v>0</v>
      </c>
      <c r="L51" s="9">
        <v>4</v>
      </c>
      <c r="M51">
        <f t="shared" si="6"/>
        <v>8.5123799999999999E-3</v>
      </c>
      <c r="N51">
        <f t="shared" si="6"/>
        <v>6.4327920000000011E-2</v>
      </c>
      <c r="O51">
        <f t="shared" si="6"/>
        <v>2.4E-2</v>
      </c>
      <c r="P51">
        <f t="shared" si="6"/>
        <v>2.7E-2</v>
      </c>
      <c r="Q51">
        <f t="shared" si="6"/>
        <v>4.0000000000000002E-4</v>
      </c>
      <c r="R51" s="10">
        <f t="shared" si="6"/>
        <v>4.0000000000000003E-5</v>
      </c>
    </row>
    <row r="52" spans="3:18" x14ac:dyDescent="0.4">
      <c r="C52" s="9">
        <v>3</v>
      </c>
      <c r="D52">
        <f t="shared" si="7"/>
        <v>0</v>
      </c>
      <c r="E52">
        <f t="shared" si="8"/>
        <v>0</v>
      </c>
      <c r="F52">
        <f t="shared" si="9"/>
        <v>0</v>
      </c>
      <c r="G52">
        <f t="shared" si="10"/>
        <v>0</v>
      </c>
      <c r="H52">
        <f t="shared" si="11"/>
        <v>0</v>
      </c>
      <c r="I52" s="10">
        <f t="shared" si="12"/>
        <v>0</v>
      </c>
      <c r="L52" s="9">
        <v>3</v>
      </c>
      <c r="M52">
        <f t="shared" si="6"/>
        <v>6.9069750000000001E-3</v>
      </c>
      <c r="N52">
        <f t="shared" si="6"/>
        <v>5.2195900000000003E-2</v>
      </c>
      <c r="O52">
        <f t="shared" si="6"/>
        <v>2.4E-2</v>
      </c>
      <c r="P52">
        <f t="shared" si="6"/>
        <v>2.4E-2</v>
      </c>
      <c r="Q52">
        <f t="shared" si="6"/>
        <v>2.9999999999999997E-4</v>
      </c>
      <c r="R52" s="10">
        <f t="shared" si="6"/>
        <v>1.0000000000000001E-5</v>
      </c>
    </row>
    <row r="53" spans="3:18" x14ac:dyDescent="0.4">
      <c r="C53" s="9">
        <v>2</v>
      </c>
      <c r="D53">
        <f t="shared" si="7"/>
        <v>0</v>
      </c>
      <c r="E53">
        <f t="shared" si="8"/>
        <v>0</v>
      </c>
      <c r="F53">
        <f t="shared" si="9"/>
        <v>0</v>
      </c>
      <c r="G53">
        <f t="shared" si="10"/>
        <v>0</v>
      </c>
      <c r="H53">
        <f t="shared" si="11"/>
        <v>0</v>
      </c>
      <c r="I53" s="10">
        <f t="shared" si="12"/>
        <v>0</v>
      </c>
      <c r="L53" s="9">
        <v>2</v>
      </c>
      <c r="M53">
        <f t="shared" si="6"/>
        <v>5.3015700000000002E-3</v>
      </c>
      <c r="N53">
        <f t="shared" si="6"/>
        <v>4.0063880000000003E-2</v>
      </c>
      <c r="O53">
        <f t="shared" si="6"/>
        <v>1.4999999999999999E-2</v>
      </c>
      <c r="P53">
        <f t="shared" si="6"/>
        <v>6.0000000000000001E-3</v>
      </c>
      <c r="Q53">
        <f t="shared" si="6"/>
        <v>2.0000000000000001E-4</v>
      </c>
      <c r="R53" s="10">
        <f t="shared" si="6"/>
        <v>0</v>
      </c>
    </row>
    <row r="54" spans="3:18" ht="18" thickBot="1" x14ac:dyDescent="0.45">
      <c r="C54" s="11">
        <v>1</v>
      </c>
      <c r="D54" s="12">
        <f t="shared" si="7"/>
        <v>0</v>
      </c>
      <c r="E54" s="12">
        <f t="shared" si="8"/>
        <v>0</v>
      </c>
      <c r="F54" s="12">
        <f t="shared" si="9"/>
        <v>0</v>
      </c>
      <c r="G54" s="12">
        <f t="shared" si="10"/>
        <v>0</v>
      </c>
      <c r="H54" s="12">
        <f t="shared" si="11"/>
        <v>0</v>
      </c>
      <c r="I54" s="13">
        <f t="shared" si="12"/>
        <v>0</v>
      </c>
      <c r="L54" s="11">
        <v>1</v>
      </c>
      <c r="M54" s="12">
        <f t="shared" si="6"/>
        <v>3.8455049999999999E-3</v>
      </c>
      <c r="N54" s="12">
        <f t="shared" si="6"/>
        <v>2.906042E-2</v>
      </c>
      <c r="O54" s="12">
        <f t="shared" si="6"/>
        <v>1.2E-2</v>
      </c>
      <c r="P54" s="12">
        <f t="shared" si="6"/>
        <v>3.0000000000000001E-3</v>
      </c>
      <c r="Q54" s="12">
        <f t="shared" si="6"/>
        <v>1E-4</v>
      </c>
      <c r="R54" s="13">
        <f t="shared" si="6"/>
        <v>0</v>
      </c>
    </row>
  </sheetData>
  <phoneticPr fontId="2" type="noConversion"/>
  <hyperlinks>
    <hyperlink ref="C32" r:id="rId1" xr:uid="{00000000-0004-0000-0200-000000000000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5"/>
  <sheetViews>
    <sheetView topLeftCell="A6" workbookViewId="0">
      <selection activeCell="E20" sqref="E20"/>
    </sheetView>
  </sheetViews>
  <sheetFormatPr defaultRowHeight="17.399999999999999" x14ac:dyDescent="0.4"/>
  <cols>
    <col min="1" max="1" width="9.69921875" bestFit="1" customWidth="1"/>
    <col min="2" max="10" width="11" bestFit="1" customWidth="1"/>
    <col min="11" max="22" width="12.09765625" bestFit="1" customWidth="1"/>
    <col min="23" max="23" width="8.69921875" bestFit="1" customWidth="1"/>
  </cols>
  <sheetData>
    <row r="1" spans="1:23" ht="18" thickBot="1" x14ac:dyDescent="0.4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15"/>
    </row>
    <row r="2" spans="1:23" x14ac:dyDescent="0.4">
      <c r="A2" s="2">
        <v>1</v>
      </c>
      <c r="B2" s="18">
        <v>650000</v>
      </c>
      <c r="C2" s="18">
        <v>300000</v>
      </c>
      <c r="D2" s="18">
        <v>50000</v>
      </c>
      <c r="E2" s="2">
        <v>0</v>
      </c>
      <c r="F2" s="2">
        <v>0</v>
      </c>
      <c r="G2" s="2">
        <v>0</v>
      </c>
      <c r="H2" s="2">
        <v>0</v>
      </c>
      <c r="I2" s="18">
        <v>1000000</v>
      </c>
      <c r="L2">
        <v>1000000</v>
      </c>
      <c r="W2" s="2"/>
    </row>
    <row r="3" spans="1:23" x14ac:dyDescent="0.4">
      <c r="A3" s="2">
        <v>2</v>
      </c>
      <c r="B3" s="19">
        <v>550000</v>
      </c>
      <c r="C3" s="19">
        <v>350000</v>
      </c>
      <c r="D3" s="19">
        <v>100000</v>
      </c>
      <c r="E3" s="4">
        <v>0</v>
      </c>
      <c r="F3" s="4">
        <v>0</v>
      </c>
      <c r="G3" s="4">
        <v>0</v>
      </c>
      <c r="H3" s="4">
        <v>0</v>
      </c>
      <c r="I3" s="18">
        <v>1000000</v>
      </c>
      <c r="W3" s="2"/>
    </row>
    <row r="4" spans="1:23" x14ac:dyDescent="0.4">
      <c r="A4" s="2">
        <v>3</v>
      </c>
      <c r="B4" s="19">
        <v>400000</v>
      </c>
      <c r="C4" s="19">
        <v>400000</v>
      </c>
      <c r="D4" s="19">
        <v>150000</v>
      </c>
      <c r="E4" s="19">
        <v>50000</v>
      </c>
      <c r="F4" s="4">
        <v>0</v>
      </c>
      <c r="G4" s="4">
        <v>0</v>
      </c>
      <c r="H4" s="4">
        <v>0</v>
      </c>
      <c r="I4" s="18">
        <v>1000000</v>
      </c>
      <c r="W4" s="2"/>
    </row>
    <row r="5" spans="1:23" x14ac:dyDescent="0.4">
      <c r="A5" s="2">
        <v>4</v>
      </c>
      <c r="B5" s="19">
        <v>400000</v>
      </c>
      <c r="C5" s="19">
        <v>400000</v>
      </c>
      <c r="D5" s="19">
        <v>150000</v>
      </c>
      <c r="E5" s="19">
        <v>50000</v>
      </c>
      <c r="F5" s="4">
        <v>0</v>
      </c>
      <c r="G5" s="4">
        <v>0</v>
      </c>
      <c r="H5" s="4">
        <v>0</v>
      </c>
      <c r="I5" s="18">
        <v>1000000</v>
      </c>
      <c r="W5" s="2"/>
    </row>
    <row r="6" spans="1:23" x14ac:dyDescent="0.4">
      <c r="A6" s="2">
        <v>5</v>
      </c>
      <c r="B6" s="19">
        <v>400000</v>
      </c>
      <c r="C6" s="19">
        <v>350000</v>
      </c>
      <c r="D6" s="19">
        <v>150000</v>
      </c>
      <c r="E6" s="19">
        <v>100000</v>
      </c>
      <c r="F6" s="4">
        <v>0</v>
      </c>
      <c r="G6" s="4">
        <v>0</v>
      </c>
      <c r="H6" s="4">
        <v>0</v>
      </c>
      <c r="I6" s="18">
        <v>1000000</v>
      </c>
      <c r="W6" s="2"/>
    </row>
    <row r="7" spans="1:23" x14ac:dyDescent="0.4">
      <c r="A7" s="2">
        <v>6</v>
      </c>
      <c r="B7" s="19">
        <v>309500</v>
      </c>
      <c r="C7" s="19">
        <v>290000</v>
      </c>
      <c r="D7" s="19">
        <v>200000</v>
      </c>
      <c r="E7" s="19">
        <v>200000</v>
      </c>
      <c r="F7" s="4">
        <v>3000</v>
      </c>
      <c r="G7" s="4">
        <v>0</v>
      </c>
      <c r="H7" s="4">
        <v>0</v>
      </c>
      <c r="I7" s="18">
        <v>1000000</v>
      </c>
      <c r="W7" s="2"/>
    </row>
    <row r="8" spans="1:23" x14ac:dyDescent="0.4">
      <c r="A8" s="2">
        <v>7</v>
      </c>
      <c r="B8" s="19">
        <v>309500</v>
      </c>
      <c r="C8" s="19">
        <v>290000</v>
      </c>
      <c r="D8" s="19">
        <v>200000</v>
      </c>
      <c r="E8" s="19">
        <v>200000</v>
      </c>
      <c r="F8" s="4">
        <v>5000</v>
      </c>
      <c r="G8" s="4">
        <v>0</v>
      </c>
      <c r="H8" s="4">
        <v>0</v>
      </c>
      <c r="I8" s="18">
        <v>1000000</v>
      </c>
      <c r="W8" s="2"/>
    </row>
    <row r="9" spans="1:23" x14ac:dyDescent="0.4">
      <c r="A9" s="2">
        <v>8</v>
      </c>
      <c r="B9" s="19">
        <v>304500</v>
      </c>
      <c r="C9" s="19">
        <v>290000</v>
      </c>
      <c r="D9" s="19">
        <v>200000</v>
      </c>
      <c r="E9" s="19">
        <v>200000</v>
      </c>
      <c r="F9" s="19">
        <v>10000</v>
      </c>
      <c r="G9" s="4">
        <v>0</v>
      </c>
      <c r="H9" s="4">
        <v>0</v>
      </c>
      <c r="I9" s="18">
        <v>1000000</v>
      </c>
      <c r="W9" s="2"/>
    </row>
    <row r="10" spans="1:23" x14ac:dyDescent="0.4">
      <c r="A10" s="2">
        <v>9</v>
      </c>
      <c r="B10" s="19">
        <v>307000</v>
      </c>
      <c r="C10" s="19">
        <v>280000</v>
      </c>
      <c r="D10" s="19">
        <v>200000</v>
      </c>
      <c r="E10" s="19">
        <v>200000</v>
      </c>
      <c r="F10" s="19">
        <v>15000</v>
      </c>
      <c r="G10" s="19">
        <v>1000</v>
      </c>
      <c r="H10" s="4">
        <v>0</v>
      </c>
      <c r="I10" s="18">
        <v>1000000</v>
      </c>
    </row>
    <row r="11" spans="1:23" x14ac:dyDescent="0.4">
      <c r="A11" s="2">
        <v>10</v>
      </c>
      <c r="B11" s="19">
        <v>300000</v>
      </c>
      <c r="C11" s="19">
        <v>280000</v>
      </c>
      <c r="D11" s="19">
        <v>200000</v>
      </c>
      <c r="E11" s="19">
        <v>200000</v>
      </c>
      <c r="F11" s="19">
        <v>15000</v>
      </c>
      <c r="G11" s="19">
        <v>3000</v>
      </c>
      <c r="H11" s="19">
        <v>0</v>
      </c>
      <c r="I11" s="18">
        <v>1000000</v>
      </c>
    </row>
    <row r="12" spans="1:23" x14ac:dyDescent="0.4">
      <c r="A12" s="2">
        <v>11</v>
      </c>
      <c r="B12" s="19">
        <v>292000</v>
      </c>
      <c r="C12" s="19">
        <v>280000</v>
      </c>
      <c r="D12" s="19">
        <v>200000</v>
      </c>
      <c r="E12" s="19">
        <v>200000</v>
      </c>
      <c r="F12" s="19">
        <v>20000</v>
      </c>
      <c r="G12" s="19">
        <v>8000</v>
      </c>
      <c r="H12" s="19">
        <v>0</v>
      </c>
      <c r="I12" s="18">
        <v>1000000</v>
      </c>
    </row>
    <row r="13" spans="1:23" x14ac:dyDescent="0.4">
      <c r="A13" s="2">
        <v>12</v>
      </c>
      <c r="B13" s="19">
        <v>299000</v>
      </c>
      <c r="C13" s="19">
        <v>280000</v>
      </c>
      <c r="D13" s="19">
        <v>190000</v>
      </c>
      <c r="E13" s="19">
        <v>190000</v>
      </c>
      <c r="F13" s="19">
        <v>30000</v>
      </c>
      <c r="G13" s="19">
        <v>10000</v>
      </c>
      <c r="H13" s="19">
        <v>1000</v>
      </c>
      <c r="I13" s="18">
        <v>1000000</v>
      </c>
    </row>
    <row r="14" spans="1:23" x14ac:dyDescent="0.4">
      <c r="A14" s="2">
        <v>13</v>
      </c>
      <c r="B14" s="19">
        <v>299000</v>
      </c>
      <c r="C14" s="19">
        <v>280000</v>
      </c>
      <c r="D14" s="19">
        <v>180000</v>
      </c>
      <c r="E14" s="19">
        <v>180000</v>
      </c>
      <c r="F14" s="19">
        <v>40000</v>
      </c>
      <c r="G14" s="19">
        <v>20000</v>
      </c>
      <c r="H14" s="19">
        <v>1000</v>
      </c>
      <c r="I14" s="18">
        <v>1000000</v>
      </c>
    </row>
    <row r="15" spans="1:23" x14ac:dyDescent="0.4">
      <c r="A15" s="2">
        <v>14</v>
      </c>
      <c r="B15" s="19">
        <v>285000</v>
      </c>
      <c r="C15" s="19">
        <v>280000</v>
      </c>
      <c r="D15" s="19">
        <v>180000</v>
      </c>
      <c r="E15" s="19">
        <v>180000</v>
      </c>
      <c r="F15" s="19">
        <v>50000</v>
      </c>
      <c r="G15" s="19">
        <v>20000</v>
      </c>
      <c r="H15" s="19">
        <v>5000</v>
      </c>
      <c r="I15" s="18">
        <v>1000000</v>
      </c>
    </row>
    <row r="16" spans="1:23" x14ac:dyDescent="0.4">
      <c r="A16" s="2">
        <v>15</v>
      </c>
      <c r="B16" s="19">
        <v>274000</v>
      </c>
      <c r="C16" s="19">
        <v>270000</v>
      </c>
      <c r="D16" s="19">
        <v>180000</v>
      </c>
      <c r="E16" s="19">
        <v>180000</v>
      </c>
      <c r="F16" s="19">
        <v>60000</v>
      </c>
      <c r="G16" s="19">
        <v>30000</v>
      </c>
      <c r="H16" s="19">
        <v>6000</v>
      </c>
      <c r="I16" s="18">
        <v>1000000</v>
      </c>
    </row>
    <row r="17" spans="1:9" x14ac:dyDescent="0.4">
      <c r="A17" s="2">
        <v>16</v>
      </c>
      <c r="B17" s="19">
        <v>253000</v>
      </c>
      <c r="C17" s="19">
        <v>260000</v>
      </c>
      <c r="D17" s="19">
        <v>180000</v>
      </c>
      <c r="E17" s="19">
        <v>180000</v>
      </c>
      <c r="F17" s="19">
        <v>70000</v>
      </c>
      <c r="G17" s="19">
        <v>50000</v>
      </c>
      <c r="H17" s="19">
        <v>7000</v>
      </c>
      <c r="I17" s="18">
        <v>1000000</v>
      </c>
    </row>
    <row r="18" spans="1:9" x14ac:dyDescent="0.4">
      <c r="A18" s="2">
        <v>17</v>
      </c>
      <c r="B18" s="19">
        <v>242000</v>
      </c>
      <c r="C18" s="19">
        <v>250000</v>
      </c>
      <c r="D18" s="19">
        <v>180000</v>
      </c>
      <c r="E18" s="19">
        <v>180000</v>
      </c>
      <c r="F18" s="19">
        <v>80000</v>
      </c>
      <c r="G18" s="19">
        <v>60000</v>
      </c>
      <c r="H18" s="19">
        <v>8000</v>
      </c>
      <c r="I18" s="18">
        <v>1000000</v>
      </c>
    </row>
    <row r="19" spans="1:9" x14ac:dyDescent="0.4">
      <c r="A19" s="2">
        <v>18</v>
      </c>
      <c r="B19" s="19">
        <v>240000</v>
      </c>
      <c r="C19" s="19">
        <v>220000</v>
      </c>
      <c r="D19" s="19">
        <v>180000</v>
      </c>
      <c r="E19" s="19">
        <v>180000</v>
      </c>
      <c r="F19" s="19">
        <v>100000</v>
      </c>
      <c r="G19" s="19">
        <v>70000</v>
      </c>
      <c r="H19" s="19">
        <v>10000</v>
      </c>
      <c r="I19" s="18">
        <v>1000000</v>
      </c>
    </row>
    <row r="20" spans="1:9" x14ac:dyDescent="0.4">
      <c r="A20" s="2">
        <v>19</v>
      </c>
      <c r="B20" s="19">
        <v>230000</v>
      </c>
      <c r="C20" s="19">
        <v>200000</v>
      </c>
      <c r="D20" s="19">
        <v>180000</v>
      </c>
      <c r="E20" s="19">
        <v>180000</v>
      </c>
      <c r="F20" s="19">
        <v>100000</v>
      </c>
      <c r="G20" s="19">
        <v>80000</v>
      </c>
      <c r="H20" s="19">
        <v>30000</v>
      </c>
      <c r="I20" s="18">
        <v>1000000</v>
      </c>
    </row>
    <row r="21" spans="1:9" x14ac:dyDescent="0.4">
      <c r="A21" s="2">
        <v>20</v>
      </c>
      <c r="B21" s="19">
        <v>200000</v>
      </c>
      <c r="C21" s="19">
        <v>190000</v>
      </c>
      <c r="D21" s="19">
        <v>180000</v>
      </c>
      <c r="E21" s="19">
        <v>180000</v>
      </c>
      <c r="F21" s="19">
        <v>100000</v>
      </c>
      <c r="G21" s="19">
        <v>100000</v>
      </c>
      <c r="H21" s="19">
        <v>50000</v>
      </c>
      <c r="I21" s="18">
        <v>1000000</v>
      </c>
    </row>
    <row r="22" spans="1:9" x14ac:dyDescent="0.4">
      <c r="A22" s="2">
        <v>21</v>
      </c>
      <c r="B22" s="19">
        <v>200000</v>
      </c>
      <c r="C22" s="19">
        <v>190000</v>
      </c>
      <c r="D22" s="19">
        <v>180000</v>
      </c>
      <c r="E22" s="19">
        <v>180000</v>
      </c>
      <c r="F22" s="19">
        <v>100000</v>
      </c>
      <c r="G22" s="19">
        <v>100000</v>
      </c>
      <c r="H22" s="19">
        <v>50000</v>
      </c>
      <c r="I22" s="18">
        <v>1000000</v>
      </c>
    </row>
    <row r="23" spans="1:9" x14ac:dyDescent="0.4">
      <c r="I23" s="2"/>
    </row>
    <row r="24" spans="1:9" x14ac:dyDescent="0.4">
      <c r="B24" s="2">
        <v>2000</v>
      </c>
      <c r="C24" s="2">
        <v>1000</v>
      </c>
      <c r="D24" s="2">
        <v>1500</v>
      </c>
      <c r="E24" s="2">
        <v>935</v>
      </c>
      <c r="F24" s="2">
        <v>500</v>
      </c>
      <c r="G24" s="2">
        <v>40</v>
      </c>
      <c r="H24" s="2">
        <v>25</v>
      </c>
    </row>
    <row r="25" spans="1:9" x14ac:dyDescent="0.4">
      <c r="A25" s="2"/>
      <c r="B25" s="4"/>
    </row>
  </sheetData>
  <phoneticPr fontId="2" type="noConversion"/>
  <pageMargins left="0.7" right="0.7" top="0.75" bottom="0.75" header="0.3" footer="0.3"/>
  <pageSetup paperSize="9" orientation="portrait" horizont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2"/>
  <sheetViews>
    <sheetView workbookViewId="0">
      <selection activeCell="G12" sqref="G12"/>
    </sheetView>
  </sheetViews>
  <sheetFormatPr defaultRowHeight="17.399999999999999" x14ac:dyDescent="0.4"/>
  <cols>
    <col min="2" max="2" width="9.19921875" bestFit="1" customWidth="1"/>
    <col min="3" max="3" width="12.69921875" bestFit="1" customWidth="1"/>
    <col min="4" max="4" width="17.19921875" bestFit="1" customWidth="1"/>
    <col min="5" max="5" width="10.19921875" bestFit="1" customWidth="1"/>
    <col min="6" max="6" width="15.09765625" bestFit="1" customWidth="1"/>
    <col min="7" max="7" width="11.19921875" bestFit="1" customWidth="1"/>
    <col min="8" max="8" width="15.19921875" bestFit="1" customWidth="1"/>
    <col min="9" max="9" width="11.19921875" bestFit="1" customWidth="1"/>
    <col min="10" max="10" width="10.19921875" bestFit="1" customWidth="1"/>
  </cols>
  <sheetData>
    <row r="1" spans="1:10" ht="18" thickBot="1" x14ac:dyDescent="0.45">
      <c r="A1" s="5" t="s">
        <v>17</v>
      </c>
      <c r="B1" s="5" t="s">
        <v>18</v>
      </c>
      <c r="C1" s="5" t="s">
        <v>44</v>
      </c>
      <c r="D1" s="24" t="s">
        <v>55</v>
      </c>
      <c r="E1" s="5" t="s">
        <v>29</v>
      </c>
      <c r="F1" s="5" t="s">
        <v>30</v>
      </c>
      <c r="G1" s="5" t="s">
        <v>31</v>
      </c>
      <c r="H1" s="5" t="s">
        <v>32</v>
      </c>
      <c r="I1" s="5" t="s">
        <v>39</v>
      </c>
      <c r="J1" s="5" t="s">
        <v>33</v>
      </c>
    </row>
    <row r="2" spans="1:10" x14ac:dyDescent="0.4">
      <c r="A2" s="4">
        <v>1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</row>
    <row r="3" spans="1:10" x14ac:dyDescent="0.4">
      <c r="A3" s="4">
        <v>2</v>
      </c>
      <c r="B3" s="19">
        <v>7000</v>
      </c>
      <c r="C3" s="19">
        <v>2000</v>
      </c>
      <c r="D3" s="19">
        <v>800000</v>
      </c>
      <c r="E3" s="4">
        <v>18</v>
      </c>
      <c r="F3" s="4">
        <v>1</v>
      </c>
      <c r="G3" s="4">
        <v>18</v>
      </c>
      <c r="H3" s="4">
        <v>1</v>
      </c>
      <c r="I3" s="4">
        <v>0</v>
      </c>
      <c r="J3" s="19">
        <v>5000</v>
      </c>
    </row>
    <row r="4" spans="1:10" x14ac:dyDescent="0.4">
      <c r="A4" s="4">
        <v>3</v>
      </c>
      <c r="B4" s="19">
        <v>30000</v>
      </c>
      <c r="C4" s="19">
        <v>5000</v>
      </c>
      <c r="D4" s="19">
        <v>800000</v>
      </c>
      <c r="E4" s="4">
        <v>20</v>
      </c>
      <c r="F4" s="4">
        <v>1</v>
      </c>
      <c r="G4" s="4">
        <v>20</v>
      </c>
      <c r="H4" s="4">
        <v>1</v>
      </c>
      <c r="I4" s="4">
        <v>0</v>
      </c>
      <c r="J4" s="19">
        <v>6500</v>
      </c>
    </row>
    <row r="5" spans="1:10" x14ac:dyDescent="0.4">
      <c r="A5" s="4">
        <v>4</v>
      </c>
      <c r="B5" s="19">
        <v>60000</v>
      </c>
      <c r="C5" s="19">
        <v>8000</v>
      </c>
      <c r="D5" s="19">
        <v>800000</v>
      </c>
      <c r="E5" s="4">
        <v>23</v>
      </c>
      <c r="F5" s="4">
        <v>1</v>
      </c>
      <c r="G5" s="4">
        <v>23</v>
      </c>
      <c r="H5" s="4">
        <v>1</v>
      </c>
      <c r="I5" s="4">
        <v>0</v>
      </c>
      <c r="J5" s="19">
        <v>8450</v>
      </c>
    </row>
    <row r="6" spans="1:10" x14ac:dyDescent="0.4">
      <c r="A6" s="4">
        <v>5</v>
      </c>
      <c r="B6" s="19">
        <v>300000</v>
      </c>
      <c r="C6" s="19">
        <v>12500</v>
      </c>
      <c r="D6" s="19">
        <v>1000000</v>
      </c>
      <c r="E6" s="4">
        <v>25</v>
      </c>
      <c r="F6" s="4">
        <v>1</v>
      </c>
      <c r="G6" s="4">
        <v>25</v>
      </c>
      <c r="H6" s="4">
        <v>1</v>
      </c>
      <c r="I6" s="4">
        <v>0</v>
      </c>
      <c r="J6" s="19">
        <v>10985</v>
      </c>
    </row>
    <row r="7" spans="1:10" x14ac:dyDescent="0.4">
      <c r="A7" s="4">
        <v>6</v>
      </c>
      <c r="B7" s="19">
        <v>750000</v>
      </c>
      <c r="C7" s="19">
        <v>60000</v>
      </c>
      <c r="D7" s="19">
        <v>1000000</v>
      </c>
      <c r="E7" s="4">
        <v>28</v>
      </c>
      <c r="F7" s="4">
        <v>1</v>
      </c>
      <c r="G7" s="4">
        <v>28</v>
      </c>
      <c r="H7" s="4">
        <v>1</v>
      </c>
      <c r="I7" s="4">
        <v>0</v>
      </c>
      <c r="J7" s="19">
        <v>14281</v>
      </c>
    </row>
    <row r="8" spans="1:10" x14ac:dyDescent="0.4">
      <c r="A8" s="4">
        <v>7</v>
      </c>
      <c r="B8" s="19">
        <v>1200000</v>
      </c>
      <c r="C8" s="19">
        <v>72000</v>
      </c>
      <c r="D8" s="19">
        <v>1000000</v>
      </c>
      <c r="E8" s="4">
        <v>30</v>
      </c>
      <c r="F8" s="4">
        <v>1</v>
      </c>
      <c r="G8" s="4">
        <v>30</v>
      </c>
      <c r="H8" s="4">
        <v>1</v>
      </c>
      <c r="I8" s="4">
        <v>0</v>
      </c>
      <c r="J8" s="19">
        <v>18565</v>
      </c>
    </row>
    <row r="9" spans="1:10" x14ac:dyDescent="0.4">
      <c r="A9" s="4">
        <v>8</v>
      </c>
      <c r="B9" s="19">
        <v>1650000</v>
      </c>
      <c r="C9" s="19">
        <v>130000</v>
      </c>
      <c r="D9" s="19">
        <v>1200000</v>
      </c>
      <c r="E9" s="4">
        <v>33</v>
      </c>
      <c r="F9" s="4">
        <v>1</v>
      </c>
      <c r="G9" s="4">
        <v>33</v>
      </c>
      <c r="H9" s="4">
        <v>1</v>
      </c>
      <c r="I9" s="4">
        <v>0</v>
      </c>
      <c r="J9" s="19">
        <v>24135</v>
      </c>
    </row>
    <row r="10" spans="1:10" x14ac:dyDescent="0.4">
      <c r="A10" s="4">
        <v>9</v>
      </c>
      <c r="B10" s="19">
        <v>2100000</v>
      </c>
      <c r="C10" s="19">
        <v>163000</v>
      </c>
      <c r="D10" s="19">
        <v>1200000</v>
      </c>
      <c r="E10" s="4">
        <v>35</v>
      </c>
      <c r="F10" s="4">
        <v>1</v>
      </c>
      <c r="G10" s="4">
        <v>35</v>
      </c>
      <c r="H10" s="4">
        <v>1</v>
      </c>
      <c r="I10" s="4">
        <v>0</v>
      </c>
      <c r="J10" s="19">
        <v>31376</v>
      </c>
    </row>
    <row r="11" spans="1:10" x14ac:dyDescent="0.4">
      <c r="A11" s="4">
        <v>10</v>
      </c>
      <c r="B11" s="19">
        <v>450000</v>
      </c>
      <c r="C11" s="19">
        <v>450000</v>
      </c>
      <c r="D11" s="19">
        <v>1500000</v>
      </c>
      <c r="E11" s="4">
        <v>0</v>
      </c>
      <c r="F11" s="19">
        <v>100000000000</v>
      </c>
      <c r="G11" s="4">
        <v>0</v>
      </c>
      <c r="H11" s="19">
        <v>100000000000</v>
      </c>
      <c r="I11" s="4">
        <v>0</v>
      </c>
      <c r="J11" s="19">
        <v>40789</v>
      </c>
    </row>
    <row r="12" spans="1:10" x14ac:dyDescent="0.4">
      <c r="A12" s="4">
        <v>11</v>
      </c>
      <c r="B12" s="19">
        <v>0</v>
      </c>
      <c r="C12" s="19">
        <v>600000</v>
      </c>
      <c r="D12" s="19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19">
        <v>53026</v>
      </c>
    </row>
    <row r="13" spans="1:10" x14ac:dyDescent="0.4">
      <c r="A13" s="4">
        <v>12</v>
      </c>
      <c r="B13" s="19">
        <v>0</v>
      </c>
      <c r="C13" s="19">
        <v>640000</v>
      </c>
      <c r="D13" s="19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19">
        <v>68934</v>
      </c>
    </row>
    <row r="14" spans="1:10" x14ac:dyDescent="0.4">
      <c r="A14" s="4">
        <v>13</v>
      </c>
      <c r="B14" s="19">
        <v>0</v>
      </c>
      <c r="C14" s="19">
        <v>820000</v>
      </c>
      <c r="D14" s="19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19">
        <v>89614</v>
      </c>
    </row>
    <row r="15" spans="1:10" x14ac:dyDescent="0.4">
      <c r="A15" s="4">
        <v>14</v>
      </c>
      <c r="B15" s="19">
        <v>0</v>
      </c>
      <c r="C15" s="19">
        <v>880000</v>
      </c>
      <c r="D15" s="19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19">
        <v>116498</v>
      </c>
    </row>
    <row r="16" spans="1:10" x14ac:dyDescent="0.4">
      <c r="A16" s="4">
        <v>15</v>
      </c>
      <c r="B16" s="19">
        <v>0</v>
      </c>
      <c r="C16" s="19">
        <v>1100000</v>
      </c>
      <c r="D16" s="19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19">
        <v>151447</v>
      </c>
    </row>
    <row r="17" spans="1:10" x14ac:dyDescent="0.4">
      <c r="A17" s="4">
        <v>16</v>
      </c>
      <c r="B17" s="19">
        <v>0</v>
      </c>
      <c r="C17" s="19">
        <v>1350000</v>
      </c>
      <c r="D17" s="19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19">
        <v>196881</v>
      </c>
    </row>
    <row r="18" spans="1:10" x14ac:dyDescent="0.4">
      <c r="A18" s="4">
        <v>17</v>
      </c>
      <c r="B18" s="19">
        <v>0</v>
      </c>
      <c r="C18" s="19">
        <v>1350000</v>
      </c>
      <c r="D18" s="19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19">
        <v>255945</v>
      </c>
    </row>
    <row r="19" spans="1:10" x14ac:dyDescent="0.4">
      <c r="A19" s="4">
        <v>18</v>
      </c>
      <c r="B19" s="19">
        <v>0</v>
      </c>
      <c r="C19" s="19">
        <v>1350000</v>
      </c>
      <c r="D19" s="19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19">
        <v>332729</v>
      </c>
    </row>
    <row r="20" spans="1:10" x14ac:dyDescent="0.4">
      <c r="A20" s="4">
        <v>19</v>
      </c>
      <c r="B20" s="19">
        <v>0</v>
      </c>
      <c r="C20" s="19">
        <v>1350000</v>
      </c>
      <c r="D20" s="19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19">
        <v>432548</v>
      </c>
    </row>
    <row r="21" spans="1:10" x14ac:dyDescent="0.4">
      <c r="A21" s="4">
        <v>20</v>
      </c>
      <c r="B21" s="19">
        <v>0</v>
      </c>
      <c r="C21" s="19">
        <v>1350000</v>
      </c>
      <c r="D21" s="19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19">
        <v>562312</v>
      </c>
    </row>
    <row r="22" spans="1:10" x14ac:dyDescent="0.4">
      <c r="A22" s="4">
        <v>21</v>
      </c>
      <c r="B22" s="19">
        <v>0</v>
      </c>
      <c r="C22" s="19">
        <v>250000</v>
      </c>
      <c r="D22" s="19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19">
        <v>255000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02"/>
  <sheetViews>
    <sheetView workbookViewId="0">
      <selection activeCell="K18" sqref="K18"/>
    </sheetView>
  </sheetViews>
  <sheetFormatPr defaultRowHeight="17.399999999999999" x14ac:dyDescent="0.4"/>
  <cols>
    <col min="2" max="2" width="37.09765625" customWidth="1"/>
    <col min="4" max="4" width="10.19921875" bestFit="1" customWidth="1"/>
    <col min="5" max="5" width="13.5" bestFit="1" customWidth="1"/>
    <col min="6" max="6" width="15.69921875" bestFit="1" customWidth="1"/>
    <col min="7" max="7" width="10.69921875" bestFit="1" customWidth="1"/>
    <col min="8" max="8" width="14.19921875" bestFit="1" customWidth="1"/>
  </cols>
  <sheetData>
    <row r="1" spans="1:10" ht="18" thickBot="1" x14ac:dyDescent="0.45">
      <c r="A1" s="1" t="s">
        <v>0</v>
      </c>
      <c r="B1" s="1" t="s">
        <v>3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2"/>
    </row>
    <row r="2" spans="1:10" x14ac:dyDescent="0.4">
      <c r="A2" s="2" t="s">
        <v>1</v>
      </c>
      <c r="B2" t="str">
        <f>"[" &amp; D2
&amp; IF(ISBLANK(E2),,"," &amp; E2)
&amp; IF(ISBLANK(F2),,"," &amp; F2)
&amp; IF(ISBLANK(G2),,"," &amp; G2)
&amp; IF(ISBLANK(H2),,"," &amp; H2) &amp; "]"</f>
        <v>[300000,250000,200000,150000,100000]</v>
      </c>
      <c r="D2" s="2">
        <v>300000</v>
      </c>
      <c r="E2" s="2">
        <v>250000</v>
      </c>
      <c r="F2" s="2">
        <v>200000</v>
      </c>
      <c r="G2" s="2">
        <v>150000</v>
      </c>
      <c r="H2" s="2">
        <v>100000</v>
      </c>
      <c r="J2">
        <f>SUM(D2:H2)</f>
        <v>1000000</v>
      </c>
    </row>
    <row r="3" spans="1:10" x14ac:dyDescent="0.4">
      <c r="A3" s="2" t="s">
        <v>2</v>
      </c>
      <c r="B3" t="str">
        <f t="shared" ref="B3:B8" si="0">"[" &amp; D3
&amp; IF(ISBLANK(E3),,"," &amp; E3)
&amp; IF(ISBLANK(F3),,"," &amp; F3)
&amp; IF(ISBLANK(G3),,"," &amp; G3)
&amp; IF(ISBLANK(H3),,"," &amp; H3) &amp; "]"</f>
        <v>[300000,250000,200000,150000,100000]</v>
      </c>
      <c r="D3" s="2">
        <v>300000</v>
      </c>
      <c r="E3" s="2">
        <v>250000</v>
      </c>
      <c r="F3" s="2">
        <v>200000</v>
      </c>
      <c r="G3" s="2">
        <v>150000</v>
      </c>
      <c r="H3" s="2">
        <v>100000</v>
      </c>
    </row>
    <row r="4" spans="1:10" x14ac:dyDescent="0.4">
      <c r="A4" s="2" t="s">
        <v>4</v>
      </c>
      <c r="B4" t="str">
        <f t="shared" si="0"/>
        <v>[300000,250000,200000,150000,100000]</v>
      </c>
      <c r="D4" s="2">
        <v>300000</v>
      </c>
      <c r="E4" s="2">
        <v>250000</v>
      </c>
      <c r="F4" s="2">
        <v>200000</v>
      </c>
      <c r="G4" s="2">
        <v>150000</v>
      </c>
      <c r="H4" s="2">
        <v>100000</v>
      </c>
    </row>
    <row r="5" spans="1:10" x14ac:dyDescent="0.4">
      <c r="A5" s="2" t="s">
        <v>5</v>
      </c>
      <c r="B5" t="str">
        <f t="shared" si="0"/>
        <v>[300000,250000,200000,150000,100000]</v>
      </c>
      <c r="D5" s="2">
        <v>300000</v>
      </c>
      <c r="E5" s="2">
        <v>250000</v>
      </c>
      <c r="F5" s="2">
        <v>200000</v>
      </c>
      <c r="G5" s="2">
        <v>150000</v>
      </c>
      <c r="H5" s="2">
        <v>100000</v>
      </c>
    </row>
    <row r="6" spans="1:10" x14ac:dyDescent="0.4">
      <c r="A6" s="2" t="s">
        <v>6</v>
      </c>
      <c r="B6" t="str">
        <f t="shared" si="0"/>
        <v>[450000,250000,150000,100000,50000]</v>
      </c>
      <c r="D6" s="2">
        <v>450000</v>
      </c>
      <c r="E6" s="2">
        <v>250000</v>
      </c>
      <c r="F6" s="2">
        <v>150000</v>
      </c>
      <c r="G6" s="2">
        <v>100000</v>
      </c>
      <c r="H6" s="2">
        <v>50000</v>
      </c>
    </row>
    <row r="7" spans="1:10" x14ac:dyDescent="0.4">
      <c r="A7" s="2" t="s">
        <v>7</v>
      </c>
      <c r="B7" t="str">
        <f t="shared" si="0"/>
        <v>[450000,250000,150000,100000,50000]</v>
      </c>
      <c r="D7" s="2">
        <v>450000</v>
      </c>
      <c r="E7" s="2">
        <v>250000</v>
      </c>
      <c r="F7" s="2">
        <v>150000</v>
      </c>
      <c r="G7" s="2">
        <v>100000</v>
      </c>
      <c r="H7" s="2">
        <v>50000</v>
      </c>
    </row>
    <row r="8" spans="1:10" x14ac:dyDescent="0.4">
      <c r="A8" s="2" t="s">
        <v>8</v>
      </c>
      <c r="B8" t="str">
        <f t="shared" si="0"/>
        <v>[450000,250000,150000,100000,50000]</v>
      </c>
      <c r="D8" s="2">
        <v>450000</v>
      </c>
      <c r="E8" s="2">
        <v>250000</v>
      </c>
      <c r="F8" s="2">
        <v>150000</v>
      </c>
      <c r="G8" s="2">
        <v>100000</v>
      </c>
      <c r="H8" s="2">
        <v>50000</v>
      </c>
    </row>
    <row r="17" spans="1:8" x14ac:dyDescent="0.4">
      <c r="A17" s="2"/>
      <c r="D17" s="2"/>
      <c r="E17" s="2"/>
      <c r="F17" s="2"/>
      <c r="G17" s="2"/>
      <c r="H17" s="3"/>
    </row>
    <row r="18" spans="1:8" x14ac:dyDescent="0.4">
      <c r="A18" s="2"/>
      <c r="D18" s="2"/>
      <c r="E18" s="2"/>
      <c r="F18" s="2"/>
      <c r="G18" s="2"/>
      <c r="H18" s="3"/>
    </row>
    <row r="19" spans="1:8" x14ac:dyDescent="0.4">
      <c r="A19" s="2"/>
      <c r="D19" s="2"/>
      <c r="E19" s="2"/>
      <c r="F19" s="2"/>
      <c r="G19" s="2"/>
      <c r="H19" s="3"/>
    </row>
    <row r="20" spans="1:8" x14ac:dyDescent="0.4">
      <c r="A20" s="2"/>
      <c r="D20" s="2"/>
      <c r="E20" s="2"/>
      <c r="F20" s="2"/>
      <c r="G20" s="2"/>
      <c r="H20" s="3"/>
    </row>
    <row r="21" spans="1:8" x14ac:dyDescent="0.4">
      <c r="A21" s="2"/>
      <c r="D21" s="2"/>
      <c r="E21" s="2"/>
      <c r="F21" s="2"/>
      <c r="G21" s="2"/>
      <c r="H21" s="3"/>
    </row>
    <row r="22" spans="1:8" x14ac:dyDescent="0.4">
      <c r="A22" s="2"/>
      <c r="D22" s="2"/>
      <c r="E22" s="2"/>
      <c r="F22" s="2"/>
      <c r="G22" s="2"/>
      <c r="H22" s="3"/>
    </row>
    <row r="23" spans="1:8" x14ac:dyDescent="0.4">
      <c r="A23" s="2"/>
      <c r="D23" s="2"/>
      <c r="E23" s="2"/>
      <c r="F23" s="2"/>
      <c r="G23" s="2"/>
      <c r="H23" s="3"/>
    </row>
    <row r="24" spans="1:8" x14ac:dyDescent="0.4">
      <c r="A24" s="2"/>
      <c r="D24" s="2"/>
      <c r="E24" s="2"/>
      <c r="F24" s="2"/>
      <c r="G24" s="2"/>
      <c r="H24" s="3"/>
    </row>
    <row r="25" spans="1:8" x14ac:dyDescent="0.4">
      <c r="A25" s="2"/>
      <c r="D25" s="2"/>
      <c r="E25" s="2"/>
      <c r="F25" s="2"/>
      <c r="G25" s="2"/>
      <c r="H25" s="3"/>
    </row>
    <row r="26" spans="1:8" x14ac:dyDescent="0.4">
      <c r="A26" s="2"/>
      <c r="D26" s="2"/>
      <c r="E26" s="2"/>
      <c r="F26" s="2"/>
      <c r="G26" s="2"/>
      <c r="H26" s="3"/>
    </row>
    <row r="27" spans="1:8" x14ac:dyDescent="0.4">
      <c r="A27" s="2"/>
      <c r="D27" s="2"/>
      <c r="E27" s="2"/>
      <c r="F27" s="2"/>
      <c r="G27" s="2"/>
      <c r="H27" s="3"/>
    </row>
    <row r="28" spans="1:8" x14ac:dyDescent="0.4">
      <c r="A28" s="2"/>
      <c r="D28" s="2"/>
      <c r="E28" s="2"/>
      <c r="F28" s="2"/>
      <c r="G28" s="2"/>
      <c r="H28" s="3"/>
    </row>
    <row r="29" spans="1:8" x14ac:dyDescent="0.4">
      <c r="A29" s="2"/>
      <c r="D29" s="2"/>
      <c r="E29" s="2"/>
      <c r="F29" s="2"/>
      <c r="G29" s="2"/>
      <c r="H29" s="3"/>
    </row>
    <row r="30" spans="1:8" x14ac:dyDescent="0.4">
      <c r="A30" s="2"/>
      <c r="D30" s="2"/>
      <c r="E30" s="2"/>
      <c r="F30" s="2"/>
      <c r="G30" s="2"/>
      <c r="H30" s="3"/>
    </row>
    <row r="31" spans="1:8" x14ac:dyDescent="0.4">
      <c r="A31" s="2"/>
      <c r="D31" s="2"/>
      <c r="E31" s="2"/>
      <c r="F31" s="2"/>
      <c r="G31" s="2"/>
      <c r="H31" s="3"/>
    </row>
    <row r="32" spans="1:8" x14ac:dyDescent="0.4">
      <c r="A32" s="2"/>
      <c r="D32" s="2"/>
      <c r="E32" s="2"/>
      <c r="F32" s="2"/>
      <c r="G32" s="2"/>
      <c r="H32" s="3"/>
    </row>
    <row r="33" spans="1:8" x14ac:dyDescent="0.4">
      <c r="A33" s="2"/>
      <c r="D33" s="2"/>
      <c r="E33" s="2"/>
      <c r="F33" s="2"/>
      <c r="G33" s="2"/>
      <c r="H33" s="3"/>
    </row>
    <row r="34" spans="1:8" x14ac:dyDescent="0.4">
      <c r="A34" s="2"/>
      <c r="D34" s="2"/>
      <c r="E34" s="2"/>
      <c r="F34" s="2"/>
      <c r="G34" s="2"/>
      <c r="H34" s="3"/>
    </row>
    <row r="35" spans="1:8" x14ac:dyDescent="0.4">
      <c r="A35" s="2"/>
      <c r="D35" s="2"/>
      <c r="E35" s="2"/>
      <c r="F35" s="2"/>
      <c r="G35" s="2"/>
      <c r="H35" s="3"/>
    </row>
    <row r="36" spans="1:8" x14ac:dyDescent="0.4">
      <c r="A36" s="2"/>
      <c r="D36" s="2"/>
      <c r="E36" s="2"/>
      <c r="F36" s="2"/>
      <c r="G36" s="2"/>
      <c r="H36" s="3"/>
    </row>
    <row r="37" spans="1:8" x14ac:dyDescent="0.4">
      <c r="A37" s="2"/>
      <c r="D37" s="2"/>
      <c r="E37" s="2"/>
      <c r="F37" s="2"/>
      <c r="G37" s="2"/>
      <c r="H37" s="3"/>
    </row>
    <row r="38" spans="1:8" x14ac:dyDescent="0.4">
      <c r="A38" s="2"/>
      <c r="D38" s="2"/>
      <c r="E38" s="2"/>
      <c r="F38" s="2"/>
      <c r="G38" s="2"/>
      <c r="H38" s="3"/>
    </row>
    <row r="39" spans="1:8" x14ac:dyDescent="0.4">
      <c r="A39" s="2"/>
      <c r="D39" s="2"/>
      <c r="E39" s="2"/>
      <c r="F39" s="2"/>
      <c r="G39" s="2"/>
      <c r="H39" s="3"/>
    </row>
    <row r="40" spans="1:8" x14ac:dyDescent="0.4">
      <c r="A40" s="2"/>
      <c r="D40" s="2"/>
      <c r="E40" s="2"/>
      <c r="F40" s="2"/>
      <c r="G40" s="2"/>
      <c r="H40" s="3"/>
    </row>
    <row r="41" spans="1:8" x14ac:dyDescent="0.4">
      <c r="A41" s="2"/>
      <c r="D41" s="2"/>
      <c r="E41" s="2"/>
      <c r="F41" s="2"/>
      <c r="G41" s="2"/>
      <c r="H41" s="3"/>
    </row>
    <row r="42" spans="1:8" x14ac:dyDescent="0.4">
      <c r="A42" s="2"/>
      <c r="D42" s="2"/>
      <c r="E42" s="2"/>
      <c r="F42" s="2"/>
      <c r="G42" s="2"/>
      <c r="H42" s="3"/>
    </row>
    <row r="43" spans="1:8" x14ac:dyDescent="0.4">
      <c r="A43" s="2"/>
      <c r="D43" s="2"/>
      <c r="E43" s="2"/>
      <c r="F43" s="2"/>
      <c r="G43" s="2"/>
      <c r="H43" s="3"/>
    </row>
    <row r="44" spans="1:8" x14ac:dyDescent="0.4">
      <c r="A44" s="2"/>
      <c r="D44" s="2"/>
      <c r="E44" s="2"/>
      <c r="F44" s="2"/>
      <c r="G44" s="2"/>
      <c r="H44" s="3"/>
    </row>
    <row r="45" spans="1:8" x14ac:dyDescent="0.4">
      <c r="A45" s="2"/>
      <c r="D45" s="2"/>
      <c r="E45" s="2"/>
      <c r="F45" s="2"/>
      <c r="G45" s="2"/>
      <c r="H45" s="3"/>
    </row>
    <row r="46" spans="1:8" x14ac:dyDescent="0.4">
      <c r="A46" s="2"/>
      <c r="D46" s="2"/>
      <c r="E46" s="2"/>
      <c r="F46" s="2"/>
      <c r="G46" s="2"/>
      <c r="H46" s="3"/>
    </row>
    <row r="47" spans="1:8" x14ac:dyDescent="0.4">
      <c r="A47" s="2"/>
      <c r="D47" s="2"/>
      <c r="E47" s="2"/>
      <c r="F47" s="2"/>
      <c r="G47" s="2"/>
      <c r="H47" s="3"/>
    </row>
    <row r="48" spans="1:8" x14ac:dyDescent="0.4">
      <c r="A48" s="2"/>
      <c r="D48" s="2"/>
      <c r="E48" s="2"/>
      <c r="F48" s="2"/>
      <c r="G48" s="2"/>
      <c r="H48" s="3"/>
    </row>
    <row r="49" spans="1:8" x14ac:dyDescent="0.4">
      <c r="A49" s="2"/>
      <c r="D49" s="2"/>
      <c r="E49" s="2"/>
      <c r="F49" s="2"/>
      <c r="G49" s="2"/>
      <c r="H49" s="3"/>
    </row>
    <row r="50" spans="1:8" x14ac:dyDescent="0.4">
      <c r="A50" s="2"/>
      <c r="D50" s="2"/>
      <c r="E50" s="2"/>
      <c r="F50" s="2"/>
      <c r="G50" s="2"/>
      <c r="H50" s="3"/>
    </row>
    <row r="51" spans="1:8" x14ac:dyDescent="0.4">
      <c r="A51" s="2"/>
      <c r="D51" s="2"/>
      <c r="E51" s="2"/>
      <c r="F51" s="2"/>
      <c r="G51" s="2"/>
      <c r="H51" s="3"/>
    </row>
    <row r="52" spans="1:8" x14ac:dyDescent="0.4">
      <c r="A52" s="2"/>
      <c r="D52" s="2"/>
      <c r="E52" s="2"/>
      <c r="F52" s="2"/>
      <c r="G52" s="2"/>
      <c r="H52" s="3"/>
    </row>
    <row r="53" spans="1:8" x14ac:dyDescent="0.4">
      <c r="A53" s="2"/>
      <c r="D53" s="2"/>
      <c r="E53" s="2"/>
      <c r="F53" s="2"/>
      <c r="G53" s="2"/>
      <c r="H53" s="3"/>
    </row>
    <row r="54" spans="1:8" x14ac:dyDescent="0.4">
      <c r="A54" s="2"/>
      <c r="D54" s="2"/>
      <c r="E54" s="2"/>
      <c r="F54" s="2"/>
      <c r="G54" s="2"/>
      <c r="H54" s="3"/>
    </row>
    <row r="55" spans="1:8" x14ac:dyDescent="0.4">
      <c r="A55" s="2"/>
      <c r="D55" s="2"/>
      <c r="E55" s="2"/>
      <c r="F55" s="2"/>
      <c r="G55" s="2"/>
      <c r="H55" s="3"/>
    </row>
    <row r="56" spans="1:8" x14ac:dyDescent="0.4">
      <c r="A56" s="2"/>
      <c r="D56" s="2"/>
      <c r="E56" s="2"/>
      <c r="F56" s="2"/>
      <c r="G56" s="2"/>
      <c r="H56" s="3"/>
    </row>
    <row r="57" spans="1:8" x14ac:dyDescent="0.4">
      <c r="A57" s="2"/>
      <c r="D57" s="2"/>
      <c r="E57" s="2"/>
      <c r="F57" s="2"/>
      <c r="G57" s="2"/>
      <c r="H57" s="3"/>
    </row>
    <row r="58" spans="1:8" x14ac:dyDescent="0.4">
      <c r="A58" s="2"/>
      <c r="D58" s="2"/>
      <c r="E58" s="2"/>
      <c r="F58" s="2"/>
      <c r="G58" s="2"/>
      <c r="H58" s="3"/>
    </row>
    <row r="59" spans="1:8" x14ac:dyDescent="0.4">
      <c r="A59" s="2"/>
      <c r="D59" s="2"/>
      <c r="E59" s="2"/>
      <c r="F59" s="2"/>
      <c r="G59" s="2"/>
      <c r="H59" s="3"/>
    </row>
    <row r="60" spans="1:8" x14ac:dyDescent="0.4">
      <c r="A60" s="2"/>
      <c r="D60" s="2"/>
      <c r="E60" s="2"/>
      <c r="F60" s="2"/>
      <c r="G60" s="2"/>
      <c r="H60" s="3"/>
    </row>
    <row r="61" spans="1:8" x14ac:dyDescent="0.4">
      <c r="A61" s="2"/>
      <c r="D61" s="2"/>
      <c r="E61" s="2"/>
      <c r="F61" s="2"/>
      <c r="G61" s="2"/>
      <c r="H61" s="3"/>
    </row>
    <row r="62" spans="1:8" x14ac:dyDescent="0.4">
      <c r="A62" s="2"/>
      <c r="D62" s="2"/>
      <c r="E62" s="2"/>
      <c r="F62" s="2"/>
      <c r="G62" s="2"/>
      <c r="H62" s="3"/>
    </row>
    <row r="63" spans="1:8" x14ac:dyDescent="0.4">
      <c r="A63" s="2"/>
      <c r="D63" s="2"/>
      <c r="E63" s="2"/>
      <c r="F63" s="2"/>
      <c r="G63" s="2"/>
      <c r="H63" s="3"/>
    </row>
    <row r="64" spans="1:8" x14ac:dyDescent="0.4">
      <c r="A64" s="2"/>
      <c r="D64" s="2"/>
      <c r="E64" s="2"/>
      <c r="F64" s="2"/>
      <c r="G64" s="2"/>
      <c r="H64" s="3"/>
    </row>
    <row r="65" spans="1:8" x14ac:dyDescent="0.4">
      <c r="A65" s="2"/>
      <c r="D65" s="2"/>
      <c r="E65" s="2"/>
      <c r="F65" s="2"/>
      <c r="G65" s="2"/>
      <c r="H65" s="3"/>
    </row>
    <row r="66" spans="1:8" x14ac:dyDescent="0.4">
      <c r="A66" s="2"/>
      <c r="D66" s="2"/>
      <c r="E66" s="2"/>
      <c r="F66" s="2"/>
      <c r="G66" s="2"/>
      <c r="H66" s="3"/>
    </row>
    <row r="67" spans="1:8" x14ac:dyDescent="0.4">
      <c r="A67" s="2"/>
      <c r="D67" s="2"/>
      <c r="E67" s="2"/>
      <c r="F67" s="2"/>
      <c r="G67" s="2"/>
      <c r="H67" s="3"/>
    </row>
    <row r="68" spans="1:8" x14ac:dyDescent="0.4">
      <c r="A68" s="2"/>
      <c r="D68" s="2"/>
      <c r="E68" s="2"/>
      <c r="F68" s="2"/>
      <c r="G68" s="2"/>
      <c r="H68" s="3"/>
    </row>
    <row r="69" spans="1:8" x14ac:dyDescent="0.4">
      <c r="A69" s="2"/>
      <c r="D69" s="2"/>
      <c r="E69" s="2"/>
      <c r="F69" s="2"/>
      <c r="G69" s="2"/>
      <c r="H69" s="3"/>
    </row>
    <row r="70" spans="1:8" x14ac:dyDescent="0.4">
      <c r="A70" s="2"/>
      <c r="D70" s="2"/>
      <c r="E70" s="2"/>
      <c r="F70" s="2"/>
      <c r="G70" s="2"/>
      <c r="H70" s="3"/>
    </row>
    <row r="71" spans="1:8" x14ac:dyDescent="0.4">
      <c r="A71" s="2"/>
      <c r="D71" s="2"/>
      <c r="E71" s="2"/>
      <c r="F71" s="2"/>
      <c r="G71" s="2"/>
      <c r="H71" s="3"/>
    </row>
    <row r="72" spans="1:8" x14ac:dyDescent="0.4">
      <c r="A72" s="2"/>
      <c r="D72" s="2"/>
      <c r="E72" s="2"/>
      <c r="F72" s="2"/>
      <c r="G72" s="2"/>
      <c r="H72" s="3"/>
    </row>
    <row r="73" spans="1:8" x14ac:dyDescent="0.4">
      <c r="A73" s="2"/>
      <c r="D73" s="2"/>
      <c r="E73" s="2"/>
      <c r="F73" s="2"/>
      <c r="G73" s="2"/>
      <c r="H73" s="3"/>
    </row>
    <row r="74" spans="1:8" x14ac:dyDescent="0.4">
      <c r="A74" s="2"/>
      <c r="D74" s="2"/>
      <c r="E74" s="2"/>
      <c r="F74" s="2"/>
      <c r="G74" s="2"/>
      <c r="H74" s="3"/>
    </row>
    <row r="75" spans="1:8" x14ac:dyDescent="0.4">
      <c r="A75" s="2"/>
      <c r="D75" s="2"/>
      <c r="E75" s="2"/>
      <c r="F75" s="2"/>
      <c r="G75" s="2"/>
      <c r="H75" s="3"/>
    </row>
    <row r="76" spans="1:8" x14ac:dyDescent="0.4">
      <c r="A76" s="2"/>
      <c r="D76" s="2"/>
      <c r="E76" s="2"/>
      <c r="F76" s="2"/>
      <c r="G76" s="2"/>
      <c r="H76" s="3"/>
    </row>
    <row r="77" spans="1:8" x14ac:dyDescent="0.4">
      <c r="A77" s="2"/>
      <c r="D77" s="2"/>
      <c r="E77" s="2"/>
      <c r="F77" s="2"/>
      <c r="G77" s="2"/>
      <c r="H77" s="3"/>
    </row>
    <row r="78" spans="1:8" x14ac:dyDescent="0.4">
      <c r="A78" s="2"/>
      <c r="D78" s="2"/>
      <c r="E78" s="2"/>
      <c r="F78" s="2"/>
      <c r="G78" s="2"/>
      <c r="H78" s="3"/>
    </row>
    <row r="79" spans="1:8" x14ac:dyDescent="0.4">
      <c r="A79" s="2"/>
      <c r="D79" s="2"/>
      <c r="E79" s="2"/>
      <c r="F79" s="2"/>
      <c r="G79" s="2"/>
      <c r="H79" s="3"/>
    </row>
    <row r="80" spans="1:8" x14ac:dyDescent="0.4">
      <c r="A80" s="2"/>
      <c r="D80" s="2"/>
      <c r="E80" s="2"/>
      <c r="F80" s="2"/>
      <c r="G80" s="2"/>
      <c r="H80" s="3"/>
    </row>
    <row r="81" spans="1:8" x14ac:dyDescent="0.4">
      <c r="A81" s="2"/>
      <c r="D81" s="2"/>
      <c r="E81" s="2"/>
      <c r="F81" s="2"/>
      <c r="G81" s="2"/>
      <c r="H81" s="3"/>
    </row>
    <row r="82" spans="1:8" x14ac:dyDescent="0.4">
      <c r="A82" s="2"/>
      <c r="D82" s="2"/>
      <c r="E82" s="2"/>
      <c r="F82" s="2"/>
      <c r="G82" s="2"/>
      <c r="H82" s="3"/>
    </row>
    <row r="83" spans="1:8" x14ac:dyDescent="0.4">
      <c r="A83" s="2"/>
      <c r="D83" s="2"/>
      <c r="E83" s="2"/>
      <c r="F83" s="2"/>
      <c r="G83" s="2"/>
      <c r="H83" s="3"/>
    </row>
    <row r="84" spans="1:8" x14ac:dyDescent="0.4">
      <c r="A84" s="2"/>
      <c r="D84" s="2"/>
      <c r="E84" s="2"/>
      <c r="F84" s="2"/>
      <c r="G84" s="2"/>
      <c r="H84" s="3"/>
    </row>
    <row r="85" spans="1:8" x14ac:dyDescent="0.4">
      <c r="A85" s="2"/>
      <c r="D85" s="2"/>
      <c r="E85" s="2"/>
      <c r="F85" s="2"/>
      <c r="G85" s="2"/>
      <c r="H85" s="3"/>
    </row>
    <row r="86" spans="1:8" x14ac:dyDescent="0.4">
      <c r="A86" s="2"/>
      <c r="D86" s="2"/>
      <c r="E86" s="2"/>
      <c r="F86" s="2"/>
      <c r="G86" s="2"/>
      <c r="H86" s="3"/>
    </row>
    <row r="87" spans="1:8" x14ac:dyDescent="0.4">
      <c r="A87" s="2"/>
      <c r="D87" s="2"/>
      <c r="E87" s="2"/>
      <c r="F87" s="2"/>
      <c r="G87" s="2"/>
      <c r="H87" s="3"/>
    </row>
    <row r="88" spans="1:8" x14ac:dyDescent="0.4">
      <c r="A88" s="2"/>
      <c r="D88" s="2"/>
      <c r="E88" s="2"/>
      <c r="F88" s="2"/>
      <c r="G88" s="2"/>
      <c r="H88" s="3"/>
    </row>
    <row r="89" spans="1:8" x14ac:dyDescent="0.4">
      <c r="A89" s="2"/>
      <c r="D89" s="2"/>
      <c r="E89" s="2"/>
      <c r="F89" s="2"/>
      <c r="G89" s="2"/>
      <c r="H89" s="3"/>
    </row>
    <row r="90" spans="1:8" x14ac:dyDescent="0.4">
      <c r="A90" s="2"/>
      <c r="D90" s="2"/>
      <c r="E90" s="2"/>
      <c r="F90" s="2"/>
      <c r="G90" s="2"/>
      <c r="H90" s="3"/>
    </row>
    <row r="91" spans="1:8" x14ac:dyDescent="0.4">
      <c r="A91" s="2"/>
      <c r="D91" s="2"/>
      <c r="E91" s="2"/>
      <c r="F91" s="2"/>
      <c r="G91" s="2"/>
      <c r="H91" s="3"/>
    </row>
    <row r="92" spans="1:8" x14ac:dyDescent="0.4">
      <c r="A92" s="2"/>
      <c r="D92" s="2"/>
      <c r="E92" s="2"/>
      <c r="F92" s="2"/>
      <c r="G92" s="2"/>
      <c r="H92" s="3"/>
    </row>
    <row r="93" spans="1:8" x14ac:dyDescent="0.4">
      <c r="A93" s="2"/>
      <c r="D93" s="2"/>
      <c r="E93" s="2"/>
      <c r="F93" s="2"/>
      <c r="G93" s="2"/>
      <c r="H93" s="3"/>
    </row>
    <row r="94" spans="1:8" x14ac:dyDescent="0.4">
      <c r="A94" s="2"/>
      <c r="D94" s="2"/>
      <c r="E94" s="2"/>
      <c r="F94" s="2"/>
      <c r="G94" s="2"/>
      <c r="H94" s="3"/>
    </row>
    <row r="95" spans="1:8" x14ac:dyDescent="0.4">
      <c r="A95" s="2"/>
      <c r="D95" s="2"/>
      <c r="E95" s="2"/>
      <c r="F95" s="2"/>
      <c r="G95" s="2"/>
      <c r="H95" s="3"/>
    </row>
    <row r="96" spans="1:8" x14ac:dyDescent="0.4">
      <c r="A96" s="2"/>
      <c r="D96" s="2"/>
      <c r="E96" s="2"/>
      <c r="F96" s="2"/>
      <c r="G96" s="2"/>
      <c r="H96" s="3"/>
    </row>
    <row r="97" spans="1:8" x14ac:dyDescent="0.4">
      <c r="A97" s="2"/>
      <c r="D97" s="2"/>
      <c r="E97" s="2"/>
      <c r="F97" s="2"/>
      <c r="G97" s="2"/>
      <c r="H97" s="3"/>
    </row>
    <row r="98" spans="1:8" x14ac:dyDescent="0.4">
      <c r="A98" s="2"/>
      <c r="D98" s="2"/>
      <c r="E98" s="2"/>
      <c r="F98" s="2"/>
      <c r="G98" s="2"/>
      <c r="H98" s="3"/>
    </row>
    <row r="99" spans="1:8" x14ac:dyDescent="0.4">
      <c r="A99" s="2"/>
      <c r="D99" s="2"/>
      <c r="E99" s="2"/>
      <c r="F99" s="2"/>
      <c r="G99" s="2"/>
      <c r="H99" s="3"/>
    </row>
    <row r="100" spans="1:8" x14ac:dyDescent="0.4">
      <c r="A100" s="2"/>
      <c r="D100" s="2"/>
      <c r="E100" s="2"/>
      <c r="F100" s="2"/>
      <c r="G100" s="2"/>
      <c r="H100" s="3"/>
    </row>
    <row r="101" spans="1:8" x14ac:dyDescent="0.4">
      <c r="A101" s="2"/>
      <c r="D101" s="2"/>
      <c r="E101" s="2"/>
      <c r="F101" s="2"/>
      <c r="G101" s="2"/>
      <c r="H101" s="3"/>
    </row>
    <row r="102" spans="1:8" x14ac:dyDescent="0.4">
      <c r="A102" s="2"/>
      <c r="D102" s="2"/>
      <c r="E102" s="2"/>
      <c r="F102" s="2"/>
      <c r="G102" s="2"/>
      <c r="H102" s="3"/>
    </row>
    <row r="103" spans="1:8" x14ac:dyDescent="0.4">
      <c r="A103" s="2"/>
      <c r="D103" s="2"/>
      <c r="E103" s="2"/>
      <c r="F103" s="2"/>
      <c r="G103" s="2"/>
      <c r="H103" s="3"/>
    </row>
    <row r="104" spans="1:8" x14ac:dyDescent="0.4">
      <c r="A104" s="2"/>
      <c r="D104" s="2"/>
      <c r="E104" s="2"/>
      <c r="F104" s="2"/>
      <c r="G104" s="2"/>
      <c r="H104" s="3"/>
    </row>
    <row r="105" spans="1:8" x14ac:dyDescent="0.4">
      <c r="A105" s="2"/>
      <c r="D105" s="2"/>
      <c r="E105" s="2"/>
      <c r="F105" s="2"/>
      <c r="G105" s="2"/>
      <c r="H105" s="3"/>
    </row>
    <row r="106" spans="1:8" x14ac:dyDescent="0.4">
      <c r="A106" s="2"/>
      <c r="D106" s="2"/>
      <c r="E106" s="2"/>
      <c r="F106" s="2"/>
      <c r="G106" s="2"/>
      <c r="H106" s="3"/>
    </row>
    <row r="107" spans="1:8" x14ac:dyDescent="0.4">
      <c r="A107" s="2"/>
      <c r="D107" s="2"/>
      <c r="E107" s="2"/>
      <c r="F107" s="2"/>
      <c r="G107" s="2"/>
      <c r="H107" s="3"/>
    </row>
    <row r="108" spans="1:8" x14ac:dyDescent="0.4">
      <c r="A108" s="2"/>
      <c r="D108" s="2"/>
      <c r="E108" s="2"/>
      <c r="F108" s="2"/>
      <c r="G108" s="2"/>
      <c r="H108" s="3"/>
    </row>
    <row r="109" spans="1:8" x14ac:dyDescent="0.4">
      <c r="A109" s="2"/>
      <c r="D109" s="2"/>
      <c r="E109" s="2"/>
      <c r="F109" s="2"/>
      <c r="G109" s="2"/>
      <c r="H109" s="3"/>
    </row>
    <row r="110" spans="1:8" x14ac:dyDescent="0.4">
      <c r="A110" s="2"/>
      <c r="D110" s="2"/>
      <c r="E110" s="2"/>
      <c r="F110" s="2"/>
      <c r="G110" s="2"/>
      <c r="H110" s="3"/>
    </row>
    <row r="111" spans="1:8" x14ac:dyDescent="0.4">
      <c r="A111" s="2"/>
      <c r="D111" s="2"/>
      <c r="E111" s="2"/>
      <c r="F111" s="2"/>
      <c r="G111" s="2"/>
      <c r="H111" s="3"/>
    </row>
    <row r="112" spans="1:8" x14ac:dyDescent="0.4">
      <c r="A112" s="2"/>
      <c r="D112" s="2"/>
      <c r="E112" s="2"/>
      <c r="F112" s="2"/>
      <c r="G112" s="2"/>
      <c r="H112" s="3"/>
    </row>
    <row r="113" spans="1:8" x14ac:dyDescent="0.4">
      <c r="A113" s="2"/>
      <c r="D113" s="2"/>
      <c r="E113" s="2"/>
      <c r="F113" s="2"/>
      <c r="G113" s="2"/>
      <c r="H113" s="3"/>
    </row>
    <row r="114" spans="1:8" x14ac:dyDescent="0.4">
      <c r="A114" s="2"/>
      <c r="D114" s="2"/>
      <c r="E114" s="2"/>
      <c r="F114" s="2"/>
      <c r="G114" s="2"/>
      <c r="H114" s="3"/>
    </row>
    <row r="115" spans="1:8" x14ac:dyDescent="0.4">
      <c r="A115" s="2"/>
      <c r="D115" s="2"/>
      <c r="E115" s="2"/>
      <c r="F115" s="2"/>
      <c r="G115" s="2"/>
      <c r="H115" s="3"/>
    </row>
    <row r="116" spans="1:8" x14ac:dyDescent="0.4">
      <c r="A116" s="2"/>
      <c r="D116" s="2"/>
      <c r="E116" s="2"/>
      <c r="F116" s="2"/>
      <c r="G116" s="2"/>
      <c r="H116" s="3"/>
    </row>
    <row r="117" spans="1:8" x14ac:dyDescent="0.4">
      <c r="A117" s="2"/>
      <c r="D117" s="2"/>
      <c r="E117" s="2"/>
      <c r="F117" s="2"/>
      <c r="G117" s="2"/>
      <c r="H117" s="3"/>
    </row>
    <row r="118" spans="1:8" x14ac:dyDescent="0.4">
      <c r="A118" s="2"/>
      <c r="D118" s="2"/>
      <c r="E118" s="2"/>
      <c r="F118" s="2"/>
      <c r="G118" s="2"/>
      <c r="H118" s="3"/>
    </row>
    <row r="119" spans="1:8" x14ac:dyDescent="0.4">
      <c r="A119" s="2"/>
      <c r="D119" s="2"/>
      <c r="E119" s="2"/>
      <c r="F119" s="2"/>
      <c r="G119" s="2"/>
      <c r="H119" s="3"/>
    </row>
    <row r="120" spans="1:8" x14ac:dyDescent="0.4">
      <c r="A120" s="2"/>
      <c r="D120" s="2"/>
      <c r="E120" s="2"/>
      <c r="F120" s="2"/>
      <c r="G120" s="2"/>
      <c r="H120" s="3"/>
    </row>
    <row r="121" spans="1:8" x14ac:dyDescent="0.4">
      <c r="A121" s="2"/>
      <c r="D121" s="2"/>
      <c r="E121" s="2"/>
      <c r="F121" s="2"/>
      <c r="G121" s="2"/>
      <c r="H121" s="3"/>
    </row>
    <row r="122" spans="1:8" x14ac:dyDescent="0.4">
      <c r="A122" s="2"/>
      <c r="D122" s="2"/>
      <c r="E122" s="2"/>
      <c r="F122" s="2"/>
      <c r="G122" s="2"/>
      <c r="H122" s="3"/>
    </row>
    <row r="123" spans="1:8" x14ac:dyDescent="0.4">
      <c r="A123" s="2"/>
      <c r="D123" s="2"/>
      <c r="E123" s="2"/>
      <c r="F123" s="2"/>
      <c r="G123" s="2"/>
      <c r="H123" s="3"/>
    </row>
    <row r="124" spans="1:8" x14ac:dyDescent="0.4">
      <c r="A124" s="2"/>
      <c r="D124" s="2"/>
      <c r="E124" s="2"/>
      <c r="F124" s="2"/>
      <c r="G124" s="2"/>
      <c r="H124" s="3"/>
    </row>
    <row r="125" spans="1:8" x14ac:dyDescent="0.4">
      <c r="A125" s="2"/>
      <c r="D125" s="2"/>
      <c r="E125" s="2"/>
      <c r="F125" s="2"/>
      <c r="G125" s="2"/>
      <c r="H125" s="3"/>
    </row>
    <row r="126" spans="1:8" x14ac:dyDescent="0.4">
      <c r="A126" s="2"/>
      <c r="D126" s="2"/>
      <c r="E126" s="2"/>
      <c r="F126" s="2"/>
      <c r="G126" s="2"/>
      <c r="H126" s="3"/>
    </row>
    <row r="127" spans="1:8" x14ac:dyDescent="0.4">
      <c r="A127" s="2"/>
      <c r="D127" s="2"/>
      <c r="E127" s="2"/>
      <c r="F127" s="2"/>
      <c r="G127" s="2"/>
      <c r="H127" s="3"/>
    </row>
    <row r="128" spans="1:8" x14ac:dyDescent="0.4">
      <c r="A128" s="2"/>
      <c r="D128" s="2"/>
      <c r="E128" s="2"/>
      <c r="F128" s="2"/>
      <c r="G128" s="2"/>
      <c r="H128" s="3"/>
    </row>
    <row r="129" spans="1:8" x14ac:dyDescent="0.4">
      <c r="A129" s="2"/>
      <c r="D129" s="2"/>
      <c r="E129" s="2"/>
      <c r="F129" s="2"/>
      <c r="G129" s="2"/>
      <c r="H129" s="3"/>
    </row>
    <row r="130" spans="1:8" x14ac:dyDescent="0.4">
      <c r="A130" s="2"/>
      <c r="D130" s="2"/>
      <c r="E130" s="2"/>
      <c r="F130" s="2"/>
      <c r="G130" s="2"/>
      <c r="H130" s="3"/>
    </row>
    <row r="131" spans="1:8" x14ac:dyDescent="0.4">
      <c r="A131" s="2"/>
      <c r="D131" s="2"/>
      <c r="E131" s="2"/>
      <c r="F131" s="2"/>
      <c r="G131" s="2"/>
      <c r="H131" s="3"/>
    </row>
    <row r="132" spans="1:8" x14ac:dyDescent="0.4">
      <c r="A132" s="2"/>
      <c r="D132" s="2"/>
      <c r="E132" s="2"/>
      <c r="F132" s="2"/>
      <c r="G132" s="2"/>
      <c r="H132" s="3"/>
    </row>
    <row r="133" spans="1:8" x14ac:dyDescent="0.4">
      <c r="A133" s="2"/>
      <c r="D133" s="2"/>
      <c r="E133" s="2"/>
      <c r="F133" s="2"/>
      <c r="G133" s="2"/>
      <c r="H133" s="3"/>
    </row>
    <row r="134" spans="1:8" x14ac:dyDescent="0.4">
      <c r="A134" s="2"/>
      <c r="D134" s="2"/>
      <c r="E134" s="2"/>
      <c r="F134" s="2"/>
      <c r="G134" s="2"/>
      <c r="H134" s="3"/>
    </row>
    <row r="135" spans="1:8" x14ac:dyDescent="0.4">
      <c r="A135" s="2"/>
      <c r="D135" s="2"/>
      <c r="E135" s="2"/>
      <c r="F135" s="2"/>
      <c r="G135" s="2"/>
      <c r="H135" s="3"/>
    </row>
    <row r="136" spans="1:8" x14ac:dyDescent="0.4">
      <c r="A136" s="2"/>
      <c r="D136" s="2"/>
      <c r="E136" s="2"/>
      <c r="F136" s="2"/>
      <c r="G136" s="2"/>
      <c r="H136" s="3"/>
    </row>
    <row r="137" spans="1:8" x14ac:dyDescent="0.4">
      <c r="A137" s="2"/>
      <c r="D137" s="2"/>
      <c r="E137" s="2"/>
      <c r="F137" s="2"/>
      <c r="G137" s="2"/>
      <c r="H137" s="3"/>
    </row>
    <row r="138" spans="1:8" x14ac:dyDescent="0.4">
      <c r="A138" s="2"/>
      <c r="D138" s="2"/>
      <c r="E138" s="2"/>
      <c r="F138" s="2"/>
      <c r="G138" s="2"/>
      <c r="H138" s="3"/>
    </row>
    <row r="139" spans="1:8" x14ac:dyDescent="0.4">
      <c r="A139" s="2"/>
      <c r="D139" s="2"/>
      <c r="E139" s="2"/>
      <c r="F139" s="2"/>
      <c r="G139" s="2"/>
      <c r="H139" s="3"/>
    </row>
    <row r="140" spans="1:8" x14ac:dyDescent="0.4">
      <c r="A140" s="2"/>
      <c r="D140" s="2"/>
      <c r="E140" s="2"/>
      <c r="F140" s="2"/>
      <c r="G140" s="2"/>
      <c r="H140" s="3"/>
    </row>
    <row r="141" spans="1:8" x14ac:dyDescent="0.4">
      <c r="A141" s="2"/>
      <c r="D141" s="2"/>
      <c r="E141" s="2"/>
      <c r="F141" s="2"/>
      <c r="G141" s="2"/>
      <c r="H141" s="3"/>
    </row>
    <row r="142" spans="1:8" x14ac:dyDescent="0.4">
      <c r="A142" s="2"/>
      <c r="D142" s="2"/>
      <c r="E142" s="2"/>
      <c r="F142" s="2"/>
      <c r="G142" s="2"/>
      <c r="H142" s="3"/>
    </row>
    <row r="143" spans="1:8" x14ac:dyDescent="0.4">
      <c r="A143" s="2"/>
      <c r="D143" s="2"/>
      <c r="E143" s="2"/>
      <c r="F143" s="2"/>
      <c r="G143" s="2"/>
      <c r="H143" s="3"/>
    </row>
    <row r="144" spans="1:8" x14ac:dyDescent="0.4">
      <c r="A144" s="2"/>
      <c r="D144" s="2"/>
      <c r="E144" s="2"/>
      <c r="F144" s="2"/>
      <c r="G144" s="2"/>
      <c r="H144" s="3"/>
    </row>
    <row r="145" spans="1:8" x14ac:dyDescent="0.4">
      <c r="A145" s="2"/>
      <c r="D145" s="2"/>
      <c r="E145" s="2"/>
      <c r="F145" s="2"/>
      <c r="G145" s="2"/>
      <c r="H145" s="3"/>
    </row>
    <row r="146" spans="1:8" x14ac:dyDescent="0.4">
      <c r="A146" s="2"/>
      <c r="D146" s="2"/>
      <c r="E146" s="2"/>
      <c r="F146" s="2"/>
      <c r="G146" s="2"/>
      <c r="H146" s="3"/>
    </row>
    <row r="147" spans="1:8" x14ac:dyDescent="0.4">
      <c r="A147" s="2"/>
      <c r="D147" s="2"/>
      <c r="E147" s="2"/>
      <c r="F147" s="2"/>
      <c r="G147" s="2"/>
      <c r="H147" s="3"/>
    </row>
    <row r="148" spans="1:8" x14ac:dyDescent="0.4">
      <c r="A148" s="2"/>
      <c r="D148" s="2"/>
      <c r="E148" s="2"/>
      <c r="F148" s="2"/>
      <c r="G148" s="2"/>
      <c r="H148" s="3"/>
    </row>
    <row r="149" spans="1:8" x14ac:dyDescent="0.4">
      <c r="A149" s="2"/>
      <c r="D149" s="2"/>
      <c r="E149" s="2"/>
      <c r="F149" s="2"/>
      <c r="G149" s="2"/>
      <c r="H149" s="3"/>
    </row>
    <row r="150" spans="1:8" x14ac:dyDescent="0.4">
      <c r="A150" s="2"/>
      <c r="D150" s="2"/>
      <c r="E150" s="2"/>
      <c r="F150" s="2"/>
      <c r="G150" s="2"/>
      <c r="H150" s="3"/>
    </row>
    <row r="151" spans="1:8" x14ac:dyDescent="0.4">
      <c r="A151" s="2"/>
      <c r="D151" s="2"/>
      <c r="E151" s="2"/>
      <c r="F151" s="2"/>
      <c r="G151" s="2"/>
      <c r="H151" s="3"/>
    </row>
    <row r="152" spans="1:8" x14ac:dyDescent="0.4">
      <c r="A152" s="2"/>
      <c r="D152" s="2"/>
      <c r="E152" s="2"/>
      <c r="F152" s="2"/>
      <c r="G152" s="2"/>
      <c r="H152" s="3"/>
    </row>
    <row r="153" spans="1:8" x14ac:dyDescent="0.4">
      <c r="A153" s="2"/>
      <c r="D153" s="2"/>
      <c r="E153" s="2"/>
      <c r="F153" s="2"/>
      <c r="G153" s="2"/>
      <c r="H153" s="3"/>
    </row>
    <row r="154" spans="1:8" x14ac:dyDescent="0.4">
      <c r="A154" s="2"/>
      <c r="D154" s="2"/>
      <c r="E154" s="2"/>
      <c r="F154" s="2"/>
      <c r="G154" s="2"/>
      <c r="H154" s="3"/>
    </row>
    <row r="155" spans="1:8" x14ac:dyDescent="0.4">
      <c r="A155" s="2"/>
      <c r="D155" s="2"/>
      <c r="E155" s="2"/>
      <c r="F155" s="2"/>
      <c r="G155" s="2"/>
      <c r="H155" s="3"/>
    </row>
    <row r="156" spans="1:8" x14ac:dyDescent="0.4">
      <c r="A156" s="2"/>
      <c r="D156" s="2"/>
      <c r="E156" s="2"/>
      <c r="F156" s="2"/>
      <c r="G156" s="2"/>
      <c r="H156" s="3"/>
    </row>
    <row r="157" spans="1:8" x14ac:dyDescent="0.4">
      <c r="A157" s="2"/>
      <c r="D157" s="2"/>
      <c r="E157" s="2"/>
      <c r="F157" s="2"/>
      <c r="G157" s="2"/>
      <c r="H157" s="3"/>
    </row>
    <row r="158" spans="1:8" x14ac:dyDescent="0.4">
      <c r="A158" s="2"/>
      <c r="D158" s="2"/>
      <c r="E158" s="2"/>
      <c r="F158" s="2"/>
      <c r="G158" s="2"/>
      <c r="H158" s="3"/>
    </row>
    <row r="159" spans="1:8" x14ac:dyDescent="0.4">
      <c r="A159" s="2"/>
      <c r="D159" s="2"/>
      <c r="E159" s="2"/>
      <c r="F159" s="2"/>
      <c r="G159" s="2"/>
      <c r="H159" s="3"/>
    </row>
    <row r="160" spans="1:8" x14ac:dyDescent="0.4">
      <c r="A160" s="2"/>
      <c r="D160" s="2"/>
      <c r="E160" s="2"/>
      <c r="F160" s="2"/>
      <c r="G160" s="2"/>
      <c r="H160" s="3"/>
    </row>
    <row r="161" spans="1:8" x14ac:dyDescent="0.4">
      <c r="A161" s="2"/>
      <c r="D161" s="2"/>
      <c r="E161" s="2"/>
      <c r="F161" s="2"/>
      <c r="G161" s="2"/>
      <c r="H161" s="3"/>
    </row>
    <row r="162" spans="1:8" x14ac:dyDescent="0.4">
      <c r="A162" s="2"/>
      <c r="D162" s="2"/>
      <c r="E162" s="2"/>
      <c r="F162" s="2"/>
      <c r="G162" s="2"/>
      <c r="H162" s="3"/>
    </row>
    <row r="163" spans="1:8" x14ac:dyDescent="0.4">
      <c r="A163" s="2"/>
      <c r="D163" s="2"/>
      <c r="E163" s="2"/>
      <c r="F163" s="2"/>
      <c r="G163" s="2"/>
      <c r="H163" s="3"/>
    </row>
    <row r="164" spans="1:8" x14ac:dyDescent="0.4">
      <c r="A164" s="2"/>
      <c r="D164" s="2"/>
      <c r="E164" s="2"/>
      <c r="F164" s="2"/>
      <c r="G164" s="2"/>
      <c r="H164" s="3"/>
    </row>
    <row r="165" spans="1:8" x14ac:dyDescent="0.4">
      <c r="A165" s="2"/>
      <c r="D165" s="2"/>
      <c r="E165" s="2"/>
      <c r="F165" s="2"/>
      <c r="G165" s="2"/>
      <c r="H165" s="3"/>
    </row>
    <row r="166" spans="1:8" x14ac:dyDescent="0.4">
      <c r="A166" s="2"/>
      <c r="D166" s="2"/>
      <c r="E166" s="2"/>
      <c r="F166" s="2"/>
      <c r="G166" s="2"/>
      <c r="H166" s="3"/>
    </row>
    <row r="167" spans="1:8" x14ac:dyDescent="0.4">
      <c r="A167" s="2"/>
      <c r="D167" s="2"/>
      <c r="E167" s="2"/>
      <c r="F167" s="2"/>
      <c r="G167" s="2"/>
      <c r="H167" s="3"/>
    </row>
    <row r="168" spans="1:8" x14ac:dyDescent="0.4">
      <c r="A168" s="2"/>
      <c r="D168" s="2"/>
      <c r="E168" s="2"/>
      <c r="F168" s="2"/>
      <c r="G168" s="2"/>
      <c r="H168" s="3"/>
    </row>
    <row r="169" spans="1:8" x14ac:dyDescent="0.4">
      <c r="A169" s="2"/>
      <c r="D169" s="2"/>
      <c r="E169" s="2"/>
      <c r="F169" s="2"/>
      <c r="G169" s="2"/>
      <c r="H169" s="3"/>
    </row>
    <row r="170" spans="1:8" x14ac:dyDescent="0.4">
      <c r="A170" s="2"/>
      <c r="D170" s="2"/>
      <c r="E170" s="2"/>
      <c r="F170" s="2"/>
      <c r="G170" s="2"/>
      <c r="H170" s="3"/>
    </row>
    <row r="171" spans="1:8" x14ac:dyDescent="0.4">
      <c r="A171" s="2"/>
      <c r="D171" s="2"/>
      <c r="E171" s="2"/>
      <c r="F171" s="2"/>
      <c r="G171" s="2"/>
      <c r="H171" s="3"/>
    </row>
    <row r="172" spans="1:8" x14ac:dyDescent="0.4">
      <c r="A172" s="2"/>
      <c r="D172" s="2"/>
      <c r="E172" s="2"/>
      <c r="F172" s="2"/>
      <c r="G172" s="2"/>
      <c r="H172" s="3"/>
    </row>
    <row r="173" spans="1:8" x14ac:dyDescent="0.4">
      <c r="A173" s="2"/>
      <c r="D173" s="2"/>
      <c r="E173" s="2"/>
      <c r="F173" s="2"/>
      <c r="G173" s="2"/>
      <c r="H173" s="3"/>
    </row>
    <row r="174" spans="1:8" x14ac:dyDescent="0.4">
      <c r="A174" s="2"/>
      <c r="D174" s="2"/>
      <c r="E174" s="2"/>
      <c r="F174" s="2"/>
      <c r="G174" s="2"/>
      <c r="H174" s="3"/>
    </row>
    <row r="175" spans="1:8" x14ac:dyDescent="0.4">
      <c r="A175" s="2"/>
      <c r="D175" s="2"/>
      <c r="E175" s="2"/>
      <c r="F175" s="2"/>
      <c r="G175" s="2"/>
      <c r="H175" s="3"/>
    </row>
    <row r="176" spans="1:8" x14ac:dyDescent="0.4">
      <c r="A176" s="2"/>
      <c r="D176" s="2"/>
      <c r="E176" s="2"/>
      <c r="F176" s="2"/>
      <c r="G176" s="2"/>
      <c r="H176" s="3"/>
    </row>
    <row r="177" spans="1:8" x14ac:dyDescent="0.4">
      <c r="A177" s="2"/>
      <c r="D177" s="2"/>
      <c r="E177" s="2"/>
      <c r="F177" s="2"/>
      <c r="G177" s="2"/>
      <c r="H177" s="3"/>
    </row>
    <row r="178" spans="1:8" x14ac:dyDescent="0.4">
      <c r="A178" s="2"/>
      <c r="D178" s="2"/>
      <c r="E178" s="2"/>
      <c r="F178" s="2"/>
      <c r="G178" s="2"/>
      <c r="H178" s="3"/>
    </row>
    <row r="179" spans="1:8" x14ac:dyDescent="0.4">
      <c r="A179" s="2"/>
      <c r="D179" s="2"/>
      <c r="E179" s="2"/>
      <c r="F179" s="2"/>
      <c r="G179" s="2"/>
      <c r="H179" s="3"/>
    </row>
    <row r="180" spans="1:8" x14ac:dyDescent="0.4">
      <c r="A180" s="2"/>
      <c r="D180" s="2"/>
      <c r="E180" s="2"/>
      <c r="F180" s="2"/>
      <c r="G180" s="2"/>
      <c r="H180" s="3"/>
    </row>
    <row r="181" spans="1:8" x14ac:dyDescent="0.4">
      <c r="A181" s="2"/>
      <c r="D181" s="2"/>
      <c r="E181" s="2"/>
      <c r="F181" s="2"/>
      <c r="G181" s="2"/>
      <c r="H181" s="3"/>
    </row>
    <row r="182" spans="1:8" x14ac:dyDescent="0.4">
      <c r="A182" s="2"/>
      <c r="D182" s="2"/>
      <c r="E182" s="2"/>
      <c r="F182" s="2"/>
      <c r="G182" s="2"/>
      <c r="H182" s="3"/>
    </row>
    <row r="183" spans="1:8" x14ac:dyDescent="0.4">
      <c r="A183" s="2"/>
      <c r="D183" s="2"/>
      <c r="E183" s="2"/>
      <c r="F183" s="2"/>
      <c r="G183" s="2"/>
      <c r="H183" s="3"/>
    </row>
    <row r="184" spans="1:8" x14ac:dyDescent="0.4">
      <c r="A184" s="2"/>
      <c r="D184" s="2"/>
      <c r="E184" s="2"/>
      <c r="F184" s="2"/>
      <c r="G184" s="2"/>
      <c r="H184" s="3"/>
    </row>
    <row r="185" spans="1:8" x14ac:dyDescent="0.4">
      <c r="A185" s="2"/>
      <c r="D185" s="2"/>
      <c r="E185" s="2"/>
      <c r="F185" s="2"/>
      <c r="G185" s="2"/>
      <c r="H185" s="3"/>
    </row>
    <row r="186" spans="1:8" x14ac:dyDescent="0.4">
      <c r="A186" s="2"/>
      <c r="D186" s="2"/>
      <c r="E186" s="2"/>
      <c r="F186" s="2"/>
      <c r="G186" s="2"/>
      <c r="H186" s="3"/>
    </row>
    <row r="187" spans="1:8" x14ac:dyDescent="0.4">
      <c r="A187" s="2"/>
      <c r="D187" s="2"/>
      <c r="E187" s="2"/>
      <c r="F187" s="2"/>
      <c r="G187" s="2"/>
      <c r="H187" s="3"/>
    </row>
    <row r="188" spans="1:8" x14ac:dyDescent="0.4">
      <c r="A188" s="2"/>
      <c r="D188" s="2"/>
      <c r="E188" s="2"/>
      <c r="F188" s="2"/>
      <c r="G188" s="2"/>
      <c r="H188" s="3"/>
    </row>
    <row r="189" spans="1:8" x14ac:dyDescent="0.4">
      <c r="A189" s="2"/>
      <c r="D189" s="2"/>
      <c r="E189" s="2"/>
      <c r="F189" s="2"/>
      <c r="G189" s="2"/>
      <c r="H189" s="3"/>
    </row>
    <row r="190" spans="1:8" x14ac:dyDescent="0.4">
      <c r="A190" s="2"/>
      <c r="D190" s="2"/>
      <c r="E190" s="2"/>
      <c r="F190" s="2"/>
      <c r="G190" s="2"/>
      <c r="H190" s="3"/>
    </row>
    <row r="191" spans="1:8" x14ac:dyDescent="0.4">
      <c r="A191" s="2"/>
      <c r="D191" s="2"/>
      <c r="E191" s="2"/>
      <c r="F191" s="2"/>
      <c r="G191" s="2"/>
      <c r="H191" s="3"/>
    </row>
    <row r="192" spans="1:8" x14ac:dyDescent="0.4">
      <c r="A192" s="2"/>
      <c r="D192" s="2"/>
      <c r="E192" s="2"/>
      <c r="F192" s="2"/>
      <c r="G192" s="2"/>
      <c r="H192" s="3"/>
    </row>
    <row r="193" spans="1:8" x14ac:dyDescent="0.4">
      <c r="A193" s="2"/>
      <c r="D193" s="2"/>
      <c r="E193" s="2"/>
      <c r="F193" s="2"/>
      <c r="G193" s="2"/>
      <c r="H193" s="3"/>
    </row>
    <row r="194" spans="1:8" x14ac:dyDescent="0.4">
      <c r="A194" s="2"/>
      <c r="D194" s="2"/>
      <c r="E194" s="2"/>
      <c r="F194" s="2"/>
      <c r="G194" s="2"/>
      <c r="H194" s="3"/>
    </row>
    <row r="195" spans="1:8" x14ac:dyDescent="0.4">
      <c r="A195" s="2"/>
      <c r="D195" s="2"/>
      <c r="E195" s="2"/>
      <c r="F195" s="2"/>
      <c r="G195" s="2"/>
      <c r="H195" s="3"/>
    </row>
    <row r="196" spans="1:8" x14ac:dyDescent="0.4">
      <c r="A196" s="2"/>
      <c r="D196" s="2"/>
      <c r="E196" s="2"/>
      <c r="F196" s="2"/>
      <c r="G196" s="2"/>
      <c r="H196" s="3"/>
    </row>
    <row r="197" spans="1:8" x14ac:dyDescent="0.4">
      <c r="A197" s="2"/>
      <c r="D197" s="2"/>
      <c r="E197" s="2"/>
      <c r="F197" s="2"/>
      <c r="G197" s="2"/>
      <c r="H197" s="3"/>
    </row>
    <row r="198" spans="1:8" x14ac:dyDescent="0.4">
      <c r="A198" s="2"/>
      <c r="D198" s="2"/>
      <c r="E198" s="2"/>
      <c r="F198" s="2"/>
      <c r="G198" s="2"/>
      <c r="H198" s="3"/>
    </row>
    <row r="199" spans="1:8" x14ac:dyDescent="0.4">
      <c r="A199" s="2"/>
      <c r="D199" s="2"/>
      <c r="E199" s="2"/>
      <c r="F199" s="2"/>
      <c r="G199" s="2"/>
      <c r="H199" s="3"/>
    </row>
    <row r="200" spans="1:8" x14ac:dyDescent="0.4">
      <c r="A200" s="2"/>
      <c r="D200" s="2"/>
      <c r="E200" s="2"/>
      <c r="F200" s="2"/>
      <c r="G200" s="2"/>
      <c r="H200" s="3"/>
    </row>
    <row r="201" spans="1:8" x14ac:dyDescent="0.4">
      <c r="A201" s="2"/>
      <c r="D201" s="2"/>
      <c r="E201" s="2"/>
      <c r="F201" s="2"/>
      <c r="G201" s="2"/>
      <c r="H201" s="3"/>
    </row>
    <row r="202" spans="1:8" x14ac:dyDescent="0.4">
      <c r="A202" s="2"/>
      <c r="D202" s="2"/>
      <c r="E202" s="2"/>
      <c r="F202" s="2"/>
      <c r="G202" s="2"/>
      <c r="H202" s="3"/>
    </row>
    <row r="203" spans="1:8" x14ac:dyDescent="0.4">
      <c r="A203" s="2"/>
      <c r="D203" s="2"/>
      <c r="E203" s="2"/>
      <c r="F203" s="2"/>
      <c r="G203" s="2"/>
      <c r="H203" s="3"/>
    </row>
    <row r="204" spans="1:8" x14ac:dyDescent="0.4">
      <c r="A204" s="2"/>
      <c r="D204" s="2"/>
      <c r="E204" s="2"/>
      <c r="F204" s="2"/>
      <c r="G204" s="2"/>
      <c r="H204" s="3"/>
    </row>
    <row r="205" spans="1:8" x14ac:dyDescent="0.4">
      <c r="A205" s="2"/>
      <c r="D205" s="2"/>
      <c r="E205" s="2"/>
      <c r="F205" s="2"/>
      <c r="G205" s="2"/>
      <c r="H205" s="3"/>
    </row>
    <row r="206" spans="1:8" x14ac:dyDescent="0.4">
      <c r="A206" s="2"/>
      <c r="D206" s="2"/>
      <c r="E206" s="2"/>
      <c r="F206" s="2"/>
      <c r="G206" s="2"/>
      <c r="H206" s="3"/>
    </row>
    <row r="207" spans="1:8" x14ac:dyDescent="0.4">
      <c r="A207" s="2"/>
      <c r="D207" s="2"/>
      <c r="E207" s="2"/>
      <c r="F207" s="2"/>
      <c r="G207" s="2"/>
      <c r="H207" s="3"/>
    </row>
    <row r="208" spans="1:8" x14ac:dyDescent="0.4">
      <c r="A208" s="2"/>
      <c r="D208" s="2"/>
      <c r="E208" s="2"/>
      <c r="F208" s="2"/>
      <c r="G208" s="2"/>
      <c r="H208" s="3"/>
    </row>
    <row r="209" spans="1:8" x14ac:dyDescent="0.4">
      <c r="A209" s="2"/>
      <c r="D209" s="2"/>
      <c r="E209" s="2"/>
      <c r="F209" s="2"/>
      <c r="G209" s="2"/>
      <c r="H209" s="3"/>
    </row>
    <row r="210" spans="1:8" x14ac:dyDescent="0.4">
      <c r="A210" s="2"/>
      <c r="D210" s="2"/>
      <c r="E210" s="2"/>
      <c r="F210" s="2"/>
      <c r="G210" s="2"/>
      <c r="H210" s="3"/>
    </row>
    <row r="211" spans="1:8" x14ac:dyDescent="0.4">
      <c r="A211" s="2"/>
      <c r="D211" s="2"/>
      <c r="E211" s="2"/>
      <c r="F211" s="2"/>
      <c r="G211" s="2"/>
      <c r="H211" s="3"/>
    </row>
    <row r="212" spans="1:8" x14ac:dyDescent="0.4">
      <c r="A212" s="2"/>
      <c r="D212" s="2"/>
      <c r="E212" s="2"/>
      <c r="F212" s="2"/>
      <c r="G212" s="2"/>
      <c r="H212" s="3"/>
    </row>
    <row r="213" spans="1:8" x14ac:dyDescent="0.4">
      <c r="A213" s="2"/>
      <c r="D213" s="2"/>
      <c r="E213" s="2"/>
      <c r="F213" s="2"/>
      <c r="G213" s="2"/>
      <c r="H213" s="3"/>
    </row>
    <row r="214" spans="1:8" x14ac:dyDescent="0.4">
      <c r="A214" s="2"/>
      <c r="D214" s="2"/>
      <c r="E214" s="2"/>
      <c r="F214" s="2"/>
      <c r="G214" s="2"/>
      <c r="H214" s="3"/>
    </row>
    <row r="215" spans="1:8" x14ac:dyDescent="0.4">
      <c r="A215" s="2"/>
      <c r="D215" s="2"/>
      <c r="E215" s="2"/>
      <c r="F215" s="2"/>
      <c r="G215" s="2"/>
      <c r="H215" s="3"/>
    </row>
    <row r="216" spans="1:8" x14ac:dyDescent="0.4">
      <c r="A216" s="2"/>
      <c r="D216" s="2"/>
      <c r="E216" s="2"/>
      <c r="F216" s="2"/>
      <c r="G216" s="2"/>
      <c r="H216" s="3"/>
    </row>
    <row r="217" spans="1:8" x14ac:dyDescent="0.4">
      <c r="A217" s="2"/>
      <c r="D217" s="2"/>
      <c r="E217" s="2"/>
      <c r="F217" s="2"/>
      <c r="G217" s="2"/>
      <c r="H217" s="3"/>
    </row>
    <row r="218" spans="1:8" x14ac:dyDescent="0.4">
      <c r="A218" s="2"/>
      <c r="D218" s="2"/>
      <c r="E218" s="2"/>
      <c r="F218" s="2"/>
      <c r="G218" s="2"/>
      <c r="H218" s="3"/>
    </row>
    <row r="219" spans="1:8" x14ac:dyDescent="0.4">
      <c r="A219" s="2"/>
      <c r="D219" s="2"/>
      <c r="E219" s="2"/>
      <c r="F219" s="2"/>
      <c r="G219" s="2"/>
      <c r="H219" s="3"/>
    </row>
    <row r="220" spans="1:8" x14ac:dyDescent="0.4">
      <c r="A220" s="2"/>
      <c r="D220" s="2"/>
      <c r="E220" s="2"/>
      <c r="F220" s="2"/>
      <c r="G220" s="2"/>
      <c r="H220" s="3"/>
    </row>
    <row r="221" spans="1:8" x14ac:dyDescent="0.4">
      <c r="A221" s="2"/>
      <c r="D221" s="2"/>
      <c r="E221" s="2"/>
      <c r="F221" s="2"/>
      <c r="G221" s="2"/>
      <c r="H221" s="3"/>
    </row>
    <row r="222" spans="1:8" x14ac:dyDescent="0.4">
      <c r="A222" s="2"/>
      <c r="D222" s="2"/>
      <c r="E222" s="2"/>
      <c r="F222" s="2"/>
      <c r="G222" s="2"/>
      <c r="H222" s="3"/>
    </row>
    <row r="223" spans="1:8" x14ac:dyDescent="0.4">
      <c r="A223" s="2"/>
      <c r="D223" s="2"/>
      <c r="E223" s="2"/>
      <c r="F223" s="2"/>
      <c r="G223" s="2"/>
      <c r="H223" s="3"/>
    </row>
    <row r="224" spans="1:8" x14ac:dyDescent="0.4">
      <c r="A224" s="2"/>
      <c r="D224" s="2"/>
      <c r="E224" s="2"/>
      <c r="F224" s="2"/>
      <c r="G224" s="2"/>
      <c r="H224" s="3"/>
    </row>
    <row r="225" spans="1:8" x14ac:dyDescent="0.4">
      <c r="A225" s="2"/>
      <c r="D225" s="2"/>
      <c r="E225" s="2"/>
      <c r="F225" s="2"/>
      <c r="G225" s="2"/>
      <c r="H225" s="3"/>
    </row>
    <row r="226" spans="1:8" x14ac:dyDescent="0.4">
      <c r="A226" s="2"/>
      <c r="D226" s="2"/>
      <c r="E226" s="2"/>
      <c r="F226" s="2"/>
      <c r="G226" s="2"/>
      <c r="H226" s="3"/>
    </row>
    <row r="227" spans="1:8" x14ac:dyDescent="0.4">
      <c r="A227" s="2"/>
      <c r="D227" s="2"/>
      <c r="E227" s="2"/>
      <c r="F227" s="2"/>
      <c r="G227" s="2"/>
      <c r="H227" s="3"/>
    </row>
    <row r="228" spans="1:8" x14ac:dyDescent="0.4">
      <c r="A228" s="2"/>
      <c r="D228" s="2"/>
      <c r="E228" s="2"/>
      <c r="F228" s="2"/>
      <c r="G228" s="2"/>
      <c r="H228" s="3"/>
    </row>
    <row r="229" spans="1:8" x14ac:dyDescent="0.4">
      <c r="A229" s="2"/>
      <c r="D229" s="2"/>
      <c r="E229" s="2"/>
      <c r="F229" s="2"/>
      <c r="G229" s="2"/>
      <c r="H229" s="3"/>
    </row>
    <row r="230" spans="1:8" x14ac:dyDescent="0.4">
      <c r="A230" s="2"/>
      <c r="D230" s="2"/>
      <c r="E230" s="2"/>
      <c r="F230" s="2"/>
      <c r="G230" s="2"/>
      <c r="H230" s="3"/>
    </row>
    <row r="231" spans="1:8" x14ac:dyDescent="0.4">
      <c r="A231" s="2"/>
      <c r="D231" s="2"/>
      <c r="E231" s="2"/>
      <c r="F231" s="2"/>
      <c r="G231" s="2"/>
      <c r="H231" s="3"/>
    </row>
    <row r="232" spans="1:8" x14ac:dyDescent="0.4">
      <c r="A232" s="2"/>
      <c r="D232" s="2"/>
      <c r="E232" s="2"/>
      <c r="F232" s="2"/>
      <c r="G232" s="2"/>
      <c r="H232" s="3"/>
    </row>
    <row r="233" spans="1:8" x14ac:dyDescent="0.4">
      <c r="A233" s="2"/>
      <c r="D233" s="2"/>
      <c r="E233" s="2"/>
      <c r="F233" s="2"/>
      <c r="G233" s="2"/>
      <c r="H233" s="3"/>
    </row>
    <row r="234" spans="1:8" x14ac:dyDescent="0.4">
      <c r="A234" s="2"/>
      <c r="D234" s="2"/>
      <c r="E234" s="2"/>
      <c r="F234" s="2"/>
      <c r="G234" s="2"/>
      <c r="H234" s="3"/>
    </row>
    <row r="235" spans="1:8" x14ac:dyDescent="0.4">
      <c r="A235" s="2"/>
      <c r="D235" s="2"/>
      <c r="E235" s="2"/>
      <c r="F235" s="2"/>
      <c r="G235" s="2"/>
      <c r="H235" s="3"/>
    </row>
    <row r="236" spans="1:8" x14ac:dyDescent="0.4">
      <c r="A236" s="2"/>
      <c r="D236" s="2"/>
      <c r="E236" s="2"/>
      <c r="F236" s="2"/>
      <c r="G236" s="2"/>
      <c r="H236" s="3"/>
    </row>
    <row r="237" spans="1:8" x14ac:dyDescent="0.4">
      <c r="A237" s="2"/>
      <c r="D237" s="2"/>
      <c r="E237" s="2"/>
      <c r="F237" s="2"/>
      <c r="G237" s="2"/>
      <c r="H237" s="3"/>
    </row>
    <row r="238" spans="1:8" x14ac:dyDescent="0.4">
      <c r="A238" s="2"/>
      <c r="D238" s="2"/>
      <c r="E238" s="2"/>
      <c r="F238" s="2"/>
      <c r="G238" s="2"/>
      <c r="H238" s="3"/>
    </row>
    <row r="239" spans="1:8" x14ac:dyDescent="0.4">
      <c r="A239" s="2"/>
      <c r="D239" s="2"/>
      <c r="E239" s="2"/>
      <c r="F239" s="2"/>
      <c r="G239" s="2"/>
      <c r="H239" s="3"/>
    </row>
    <row r="240" spans="1:8" x14ac:dyDescent="0.4">
      <c r="A240" s="2"/>
      <c r="D240" s="2"/>
      <c r="E240" s="2"/>
      <c r="F240" s="2"/>
      <c r="G240" s="2"/>
      <c r="H240" s="3"/>
    </row>
    <row r="241" spans="1:8" x14ac:dyDescent="0.4">
      <c r="A241" s="2"/>
      <c r="D241" s="2"/>
      <c r="E241" s="2"/>
      <c r="F241" s="2"/>
      <c r="G241" s="2"/>
      <c r="H241" s="3"/>
    </row>
    <row r="242" spans="1:8" x14ac:dyDescent="0.4">
      <c r="A242" s="2"/>
      <c r="D242" s="2"/>
      <c r="E242" s="2"/>
      <c r="F242" s="2"/>
      <c r="G242" s="2"/>
      <c r="H242" s="3"/>
    </row>
    <row r="243" spans="1:8" x14ac:dyDescent="0.4">
      <c r="A243" s="2"/>
      <c r="D243" s="2"/>
      <c r="E243" s="2"/>
      <c r="F243" s="2"/>
      <c r="G243" s="2"/>
      <c r="H243" s="3"/>
    </row>
    <row r="244" spans="1:8" x14ac:dyDescent="0.4">
      <c r="A244" s="2"/>
      <c r="D244" s="2"/>
      <c r="E244" s="2"/>
      <c r="F244" s="2"/>
      <c r="G244" s="2"/>
      <c r="H244" s="3"/>
    </row>
    <row r="245" spans="1:8" x14ac:dyDescent="0.4">
      <c r="A245" s="2"/>
      <c r="D245" s="2"/>
      <c r="E245" s="2"/>
      <c r="F245" s="2"/>
      <c r="G245" s="2"/>
      <c r="H245" s="3"/>
    </row>
    <row r="246" spans="1:8" x14ac:dyDescent="0.4">
      <c r="A246" s="2"/>
      <c r="D246" s="2"/>
      <c r="E246" s="2"/>
      <c r="F246" s="2"/>
      <c r="G246" s="2"/>
      <c r="H246" s="3"/>
    </row>
    <row r="247" spans="1:8" x14ac:dyDescent="0.4">
      <c r="A247" s="2"/>
      <c r="D247" s="2"/>
      <c r="E247" s="2"/>
      <c r="F247" s="2"/>
      <c r="G247" s="2"/>
      <c r="H247" s="3"/>
    </row>
    <row r="248" spans="1:8" x14ac:dyDescent="0.4">
      <c r="A248" s="2"/>
      <c r="D248" s="2"/>
      <c r="E248" s="2"/>
      <c r="F248" s="2"/>
      <c r="G248" s="2"/>
      <c r="H248" s="3"/>
    </row>
    <row r="249" spans="1:8" x14ac:dyDescent="0.4">
      <c r="A249" s="2"/>
      <c r="D249" s="2"/>
      <c r="E249" s="2"/>
      <c r="F249" s="2"/>
      <c r="G249" s="2"/>
      <c r="H249" s="3"/>
    </row>
    <row r="250" spans="1:8" x14ac:dyDescent="0.4">
      <c r="A250" s="2"/>
      <c r="D250" s="2"/>
      <c r="E250" s="2"/>
      <c r="F250" s="2"/>
      <c r="G250" s="2"/>
      <c r="H250" s="3"/>
    </row>
    <row r="251" spans="1:8" x14ac:dyDescent="0.4">
      <c r="A251" s="2"/>
      <c r="D251" s="2"/>
      <c r="E251" s="2"/>
      <c r="F251" s="2"/>
      <c r="G251" s="2"/>
      <c r="H251" s="3"/>
    </row>
    <row r="252" spans="1:8" x14ac:dyDescent="0.4">
      <c r="A252" s="2"/>
      <c r="D252" s="2"/>
      <c r="E252" s="2"/>
      <c r="F252" s="2"/>
      <c r="G252" s="2"/>
      <c r="H252" s="3"/>
    </row>
    <row r="253" spans="1:8" x14ac:dyDescent="0.4">
      <c r="A253" s="2"/>
      <c r="D253" s="2"/>
      <c r="E253" s="2"/>
      <c r="F253" s="2"/>
      <c r="G253" s="2"/>
      <c r="H253" s="3"/>
    </row>
    <row r="254" spans="1:8" x14ac:dyDescent="0.4">
      <c r="A254" s="2"/>
      <c r="D254" s="2"/>
      <c r="E254" s="2"/>
      <c r="F254" s="2"/>
      <c r="G254" s="2"/>
      <c r="H254" s="3"/>
    </row>
    <row r="255" spans="1:8" x14ac:dyDescent="0.4">
      <c r="A255" s="2"/>
      <c r="D255" s="2"/>
      <c r="E255" s="2"/>
      <c r="F255" s="2"/>
      <c r="G255" s="2"/>
      <c r="H255" s="3"/>
    </row>
    <row r="256" spans="1:8" x14ac:dyDescent="0.4">
      <c r="A256" s="2"/>
      <c r="D256" s="2"/>
      <c r="E256" s="2"/>
      <c r="F256" s="2"/>
      <c r="G256" s="2"/>
      <c r="H256" s="3"/>
    </row>
    <row r="257" spans="1:8" x14ac:dyDescent="0.4">
      <c r="A257" s="2"/>
      <c r="D257" s="2"/>
      <c r="E257" s="2"/>
      <c r="F257" s="2"/>
      <c r="G257" s="2"/>
      <c r="H257" s="3"/>
    </row>
    <row r="258" spans="1:8" x14ac:dyDescent="0.4">
      <c r="A258" s="2"/>
      <c r="D258" s="2"/>
      <c r="E258" s="2"/>
      <c r="F258" s="2"/>
      <c r="G258" s="2"/>
      <c r="H258" s="3"/>
    </row>
    <row r="259" spans="1:8" x14ac:dyDescent="0.4">
      <c r="A259" s="2"/>
      <c r="D259" s="2"/>
      <c r="E259" s="2"/>
      <c r="F259" s="2"/>
      <c r="G259" s="2"/>
      <c r="H259" s="3"/>
    </row>
    <row r="260" spans="1:8" x14ac:dyDescent="0.4">
      <c r="A260" s="2"/>
      <c r="D260" s="2"/>
      <c r="E260" s="2"/>
      <c r="F260" s="2"/>
      <c r="G260" s="2"/>
      <c r="H260" s="3"/>
    </row>
    <row r="261" spans="1:8" x14ac:dyDescent="0.4">
      <c r="A261" s="2"/>
      <c r="D261" s="2"/>
      <c r="E261" s="2"/>
      <c r="F261" s="2"/>
      <c r="G261" s="2"/>
      <c r="H261" s="3"/>
    </row>
    <row r="262" spans="1:8" x14ac:dyDescent="0.4">
      <c r="A262" s="2"/>
      <c r="D262" s="2"/>
      <c r="E262" s="2"/>
      <c r="F262" s="2"/>
      <c r="G262" s="2"/>
      <c r="H262" s="3"/>
    </row>
    <row r="263" spans="1:8" x14ac:dyDescent="0.4">
      <c r="A263" s="2"/>
      <c r="D263" s="2"/>
      <c r="E263" s="2"/>
      <c r="F263" s="2"/>
      <c r="G263" s="2"/>
      <c r="H263" s="3"/>
    </row>
    <row r="264" spans="1:8" x14ac:dyDescent="0.4">
      <c r="A264" s="2"/>
      <c r="D264" s="2"/>
      <c r="E264" s="2"/>
      <c r="F264" s="2"/>
      <c r="G264" s="2"/>
      <c r="H264" s="3"/>
    </row>
    <row r="265" spans="1:8" x14ac:dyDescent="0.4">
      <c r="A265" s="2"/>
      <c r="D265" s="2"/>
      <c r="E265" s="2"/>
      <c r="F265" s="2"/>
      <c r="G265" s="2"/>
      <c r="H265" s="3"/>
    </row>
    <row r="266" spans="1:8" x14ac:dyDescent="0.4">
      <c r="A266" s="2"/>
      <c r="D266" s="2"/>
      <c r="E266" s="2"/>
      <c r="F266" s="2"/>
      <c r="G266" s="2"/>
      <c r="H266" s="3"/>
    </row>
    <row r="267" spans="1:8" x14ac:dyDescent="0.4">
      <c r="A267" s="2"/>
      <c r="D267" s="2"/>
      <c r="E267" s="2"/>
      <c r="F267" s="2"/>
      <c r="G267" s="2"/>
      <c r="H267" s="3"/>
    </row>
    <row r="268" spans="1:8" x14ac:dyDescent="0.4">
      <c r="A268" s="2"/>
      <c r="D268" s="2"/>
      <c r="E268" s="2"/>
      <c r="F268" s="2"/>
      <c r="G268" s="2"/>
      <c r="H268" s="3"/>
    </row>
    <row r="269" spans="1:8" x14ac:dyDescent="0.4">
      <c r="A269" s="2"/>
      <c r="D269" s="2"/>
      <c r="E269" s="2"/>
      <c r="F269" s="2"/>
      <c r="G269" s="2"/>
      <c r="H269" s="3"/>
    </row>
    <row r="270" spans="1:8" x14ac:dyDescent="0.4">
      <c r="A270" s="2"/>
      <c r="D270" s="2"/>
      <c r="E270" s="2"/>
      <c r="F270" s="2"/>
      <c r="G270" s="2"/>
      <c r="H270" s="3"/>
    </row>
    <row r="271" spans="1:8" x14ac:dyDescent="0.4">
      <c r="A271" s="2"/>
      <c r="D271" s="2"/>
      <c r="E271" s="2"/>
      <c r="F271" s="2"/>
      <c r="G271" s="2"/>
      <c r="H271" s="3"/>
    </row>
    <row r="272" spans="1:8" x14ac:dyDescent="0.4">
      <c r="A272" s="2"/>
      <c r="D272" s="2"/>
      <c r="E272" s="2"/>
      <c r="F272" s="2"/>
      <c r="G272" s="2"/>
      <c r="H272" s="3"/>
    </row>
    <row r="273" spans="1:8" x14ac:dyDescent="0.4">
      <c r="A273" s="2"/>
      <c r="D273" s="2"/>
      <c r="E273" s="2"/>
      <c r="F273" s="2"/>
      <c r="G273" s="2"/>
      <c r="H273" s="3"/>
    </row>
    <row r="274" spans="1:8" x14ac:dyDescent="0.4">
      <c r="A274" s="2"/>
      <c r="D274" s="2"/>
      <c r="E274" s="2"/>
      <c r="F274" s="2"/>
      <c r="G274" s="2"/>
      <c r="H274" s="3"/>
    </row>
    <row r="275" spans="1:8" x14ac:dyDescent="0.4">
      <c r="A275" s="2"/>
      <c r="D275" s="2"/>
      <c r="E275" s="2"/>
      <c r="F275" s="2"/>
      <c r="G275" s="2"/>
      <c r="H275" s="3"/>
    </row>
    <row r="276" spans="1:8" x14ac:dyDescent="0.4">
      <c r="A276" s="2"/>
      <c r="D276" s="2"/>
      <c r="E276" s="2"/>
      <c r="F276" s="2"/>
      <c r="G276" s="2"/>
      <c r="H276" s="3"/>
    </row>
    <row r="277" spans="1:8" x14ac:dyDescent="0.4">
      <c r="A277" s="2"/>
      <c r="D277" s="2"/>
      <c r="E277" s="2"/>
      <c r="F277" s="2"/>
      <c r="G277" s="2"/>
      <c r="H277" s="3"/>
    </row>
    <row r="278" spans="1:8" x14ac:dyDescent="0.4">
      <c r="A278" s="2"/>
      <c r="D278" s="2"/>
      <c r="E278" s="2"/>
      <c r="F278" s="2"/>
      <c r="G278" s="2"/>
      <c r="H278" s="3"/>
    </row>
    <row r="279" spans="1:8" x14ac:dyDescent="0.4">
      <c r="A279" s="2"/>
      <c r="D279" s="2"/>
      <c r="E279" s="2"/>
      <c r="F279" s="2"/>
      <c r="G279" s="2"/>
      <c r="H279" s="3"/>
    </row>
    <row r="280" spans="1:8" x14ac:dyDescent="0.4">
      <c r="A280" s="2"/>
      <c r="D280" s="2"/>
      <c r="E280" s="2"/>
      <c r="F280" s="2"/>
      <c r="G280" s="2"/>
      <c r="H280" s="3"/>
    </row>
    <row r="281" spans="1:8" x14ac:dyDescent="0.4">
      <c r="A281" s="2"/>
      <c r="D281" s="2"/>
      <c r="E281" s="2"/>
      <c r="F281" s="2"/>
      <c r="G281" s="2"/>
      <c r="H281" s="3"/>
    </row>
    <row r="282" spans="1:8" x14ac:dyDescent="0.4">
      <c r="A282" s="2"/>
      <c r="D282" s="2"/>
      <c r="E282" s="2"/>
      <c r="F282" s="2"/>
      <c r="G282" s="2"/>
      <c r="H282" s="3"/>
    </row>
    <row r="283" spans="1:8" x14ac:dyDescent="0.4">
      <c r="A283" s="2"/>
      <c r="D283" s="2"/>
      <c r="E283" s="2"/>
      <c r="F283" s="2"/>
      <c r="G283" s="2"/>
      <c r="H283" s="3"/>
    </row>
    <row r="284" spans="1:8" x14ac:dyDescent="0.4">
      <c r="A284" s="2"/>
      <c r="D284" s="2"/>
      <c r="E284" s="2"/>
      <c r="F284" s="2"/>
      <c r="G284" s="2"/>
      <c r="H284" s="3"/>
    </row>
    <row r="285" spans="1:8" x14ac:dyDescent="0.4">
      <c r="A285" s="2"/>
      <c r="D285" s="2"/>
      <c r="E285" s="2"/>
      <c r="F285" s="2"/>
      <c r="G285" s="2"/>
      <c r="H285" s="3"/>
    </row>
    <row r="286" spans="1:8" x14ac:dyDescent="0.4">
      <c r="A286" s="2"/>
      <c r="D286" s="2"/>
      <c r="E286" s="2"/>
      <c r="F286" s="2"/>
      <c r="G286" s="2"/>
      <c r="H286" s="3"/>
    </row>
    <row r="287" spans="1:8" x14ac:dyDescent="0.4">
      <c r="A287" s="2"/>
      <c r="D287" s="2"/>
      <c r="E287" s="2"/>
      <c r="F287" s="2"/>
      <c r="G287" s="2"/>
      <c r="H287" s="3"/>
    </row>
    <row r="288" spans="1:8" x14ac:dyDescent="0.4">
      <c r="A288" s="2"/>
      <c r="D288" s="2"/>
      <c r="E288" s="2"/>
      <c r="F288" s="2"/>
      <c r="G288" s="2"/>
      <c r="H288" s="3"/>
    </row>
    <row r="289" spans="1:8" x14ac:dyDescent="0.4">
      <c r="A289" s="2"/>
      <c r="D289" s="2"/>
      <c r="E289" s="2"/>
      <c r="F289" s="2"/>
      <c r="G289" s="2"/>
      <c r="H289" s="3"/>
    </row>
    <row r="290" spans="1:8" x14ac:dyDescent="0.4">
      <c r="A290" s="2"/>
      <c r="D290" s="2"/>
      <c r="E290" s="2"/>
      <c r="F290" s="2"/>
      <c r="G290" s="2"/>
      <c r="H290" s="3"/>
    </row>
    <row r="291" spans="1:8" x14ac:dyDescent="0.4">
      <c r="A291" s="2"/>
      <c r="D291" s="2"/>
      <c r="E291" s="2"/>
      <c r="F291" s="2"/>
      <c r="G291" s="2"/>
      <c r="H291" s="3"/>
    </row>
    <row r="292" spans="1:8" x14ac:dyDescent="0.4">
      <c r="A292" s="2"/>
      <c r="D292" s="2"/>
      <c r="E292" s="2"/>
      <c r="F292" s="2"/>
      <c r="G292" s="2"/>
      <c r="H292" s="3"/>
    </row>
    <row r="293" spans="1:8" x14ac:dyDescent="0.4">
      <c r="A293" s="2"/>
      <c r="D293" s="2"/>
      <c r="E293" s="2"/>
      <c r="F293" s="2"/>
      <c r="G293" s="2"/>
      <c r="H293" s="3"/>
    </row>
    <row r="294" spans="1:8" x14ac:dyDescent="0.4">
      <c r="A294" s="2"/>
      <c r="D294" s="2"/>
      <c r="E294" s="2"/>
      <c r="F294" s="2"/>
      <c r="G294" s="2"/>
      <c r="H294" s="3"/>
    </row>
    <row r="295" spans="1:8" x14ac:dyDescent="0.4">
      <c r="A295" s="2"/>
      <c r="D295" s="2"/>
      <c r="E295" s="2"/>
      <c r="F295" s="2"/>
      <c r="G295" s="2"/>
      <c r="H295" s="3"/>
    </row>
    <row r="296" spans="1:8" x14ac:dyDescent="0.4">
      <c r="A296" s="2"/>
      <c r="D296" s="2"/>
      <c r="E296" s="2"/>
      <c r="F296" s="2"/>
      <c r="G296" s="2"/>
      <c r="H296" s="3"/>
    </row>
    <row r="297" spans="1:8" x14ac:dyDescent="0.4">
      <c r="A297" s="2"/>
      <c r="D297" s="2"/>
      <c r="E297" s="2"/>
      <c r="F297" s="2"/>
      <c r="G297" s="2"/>
      <c r="H297" s="3"/>
    </row>
    <row r="298" spans="1:8" x14ac:dyDescent="0.4">
      <c r="A298" s="2"/>
      <c r="D298" s="2"/>
      <c r="E298" s="2"/>
      <c r="F298" s="2"/>
      <c r="G298" s="2"/>
      <c r="H298" s="3"/>
    </row>
    <row r="299" spans="1:8" x14ac:dyDescent="0.4">
      <c r="A299" s="2"/>
      <c r="D299" s="2"/>
      <c r="E299" s="2"/>
      <c r="F299" s="2"/>
      <c r="G299" s="2"/>
      <c r="H299" s="3"/>
    </row>
    <row r="300" spans="1:8" x14ac:dyDescent="0.4">
      <c r="A300" s="2"/>
      <c r="D300" s="2"/>
      <c r="E300" s="2"/>
      <c r="F300" s="2"/>
      <c r="G300" s="2"/>
      <c r="H300" s="3"/>
    </row>
    <row r="301" spans="1:8" x14ac:dyDescent="0.4">
      <c r="A301" s="2"/>
      <c r="D301" s="2"/>
      <c r="E301" s="2"/>
      <c r="F301" s="2"/>
      <c r="G301" s="2"/>
      <c r="H301" s="3"/>
    </row>
    <row r="302" spans="1:8" x14ac:dyDescent="0.4">
      <c r="A302" s="2"/>
      <c r="D302" s="2"/>
      <c r="E302" s="2"/>
      <c r="F302" s="2"/>
      <c r="G302" s="2"/>
      <c r="H302" s="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6"/>
  <sheetViews>
    <sheetView tabSelected="1" workbookViewId="0">
      <selection activeCell="B6" sqref="B6"/>
    </sheetView>
  </sheetViews>
  <sheetFormatPr defaultRowHeight="17.399999999999999" x14ac:dyDescent="0.4"/>
  <cols>
    <col min="1" max="1" width="18" bestFit="1" customWidth="1"/>
    <col min="2" max="2" width="10.59765625" bestFit="1" customWidth="1"/>
  </cols>
  <sheetData>
    <row r="1" spans="1:4" ht="18" thickBot="1" x14ac:dyDescent="0.45">
      <c r="A1" s="1" t="s">
        <v>0</v>
      </c>
      <c r="B1" s="1" t="s">
        <v>13</v>
      </c>
      <c r="C1" s="1" t="s">
        <v>16</v>
      </c>
    </row>
    <row r="2" spans="1:4" x14ac:dyDescent="0.4">
      <c r="A2" t="s">
        <v>9</v>
      </c>
      <c r="B2">
        <v>10</v>
      </c>
      <c r="C2">
        <v>500</v>
      </c>
      <c r="D2">
        <f>C2/(B2-1)</f>
        <v>55.555555555555557</v>
      </c>
    </row>
    <row r="3" spans="1:4" x14ac:dyDescent="0.4">
      <c r="A3" t="s">
        <v>10</v>
      </c>
      <c r="B3">
        <v>30</v>
      </c>
      <c r="C3">
        <f>C2*3</f>
        <v>1500</v>
      </c>
      <c r="D3">
        <f t="shared" ref="D3:D13" si="0">C3/(B3-1)</f>
        <v>51.724137931034484</v>
      </c>
    </row>
    <row r="4" spans="1:4" x14ac:dyDescent="0.4">
      <c r="A4" t="s">
        <v>40</v>
      </c>
      <c r="B4">
        <v>100</v>
      </c>
      <c r="C4">
        <f>50*100</f>
        <v>5000</v>
      </c>
    </row>
    <row r="5" spans="1:4" x14ac:dyDescent="0.4">
      <c r="A5" t="s">
        <v>41</v>
      </c>
      <c r="B5">
        <v>300</v>
      </c>
      <c r="C5">
        <f>50*300</f>
        <v>15000</v>
      </c>
    </row>
    <row r="6" spans="1:4" x14ac:dyDescent="0.4">
      <c r="A6" s="27" t="s">
        <v>56</v>
      </c>
      <c r="B6" s="26">
        <v>30</v>
      </c>
      <c r="C6" s="26">
        <v>0</v>
      </c>
    </row>
    <row r="7" spans="1:4" x14ac:dyDescent="0.4">
      <c r="A7" t="s">
        <v>14</v>
      </c>
      <c r="B7">
        <v>10</v>
      </c>
      <c r="C7">
        <v>500</v>
      </c>
      <c r="D7">
        <f t="shared" si="0"/>
        <v>55.555555555555557</v>
      </c>
    </row>
    <row r="8" spans="1:4" x14ac:dyDescent="0.4">
      <c r="A8" t="s">
        <v>15</v>
      </c>
      <c r="B8">
        <v>30</v>
      </c>
      <c r="C8">
        <f>C7*3</f>
        <v>1500</v>
      </c>
      <c r="D8">
        <f t="shared" si="0"/>
        <v>51.724137931034484</v>
      </c>
    </row>
    <row r="9" spans="1:4" x14ac:dyDescent="0.4">
      <c r="A9" t="s">
        <v>42</v>
      </c>
      <c r="B9">
        <v>100</v>
      </c>
      <c r="C9">
        <f>50*100</f>
        <v>5000</v>
      </c>
    </row>
    <row r="10" spans="1:4" x14ac:dyDescent="0.4">
      <c r="A10" t="s">
        <v>43</v>
      </c>
      <c r="B10">
        <v>300</v>
      </c>
      <c r="C10">
        <f>50*300</f>
        <v>15000</v>
      </c>
    </row>
    <row r="11" spans="1:4" x14ac:dyDescent="0.4">
      <c r="A11" s="29" t="s">
        <v>57</v>
      </c>
      <c r="B11" s="28">
        <v>30</v>
      </c>
      <c r="C11" s="28">
        <v>0</v>
      </c>
    </row>
    <row r="12" spans="1:4" x14ac:dyDescent="0.4">
      <c r="A12" t="s">
        <v>11</v>
      </c>
      <c r="B12">
        <v>5</v>
      </c>
      <c r="C12">
        <f>B12*500</f>
        <v>2500</v>
      </c>
      <c r="D12">
        <f t="shared" si="0"/>
        <v>625</v>
      </c>
    </row>
    <row r="13" spans="1:4" x14ac:dyDescent="0.4">
      <c r="A13" t="s">
        <v>12</v>
      </c>
      <c r="B13">
        <v>15</v>
      </c>
      <c r="C13">
        <f t="shared" ref="C13:C15" si="1">B13*500</f>
        <v>7500</v>
      </c>
      <c r="D13">
        <f t="shared" si="0"/>
        <v>535.71428571428567</v>
      </c>
    </row>
    <row r="14" spans="1:4" x14ac:dyDescent="0.4">
      <c r="A14" t="s">
        <v>45</v>
      </c>
      <c r="B14">
        <v>25</v>
      </c>
      <c r="C14">
        <f t="shared" si="1"/>
        <v>12500</v>
      </c>
    </row>
    <row r="15" spans="1:4" x14ac:dyDescent="0.4">
      <c r="A15" t="s">
        <v>46</v>
      </c>
      <c r="B15">
        <v>50</v>
      </c>
      <c r="C15">
        <f t="shared" si="1"/>
        <v>25000</v>
      </c>
    </row>
    <row r="16" spans="1:4" x14ac:dyDescent="0.4">
      <c r="A16" s="31" t="s">
        <v>58</v>
      </c>
      <c r="B16" s="30">
        <v>10</v>
      </c>
      <c r="C16" s="30">
        <v>0</v>
      </c>
    </row>
    <row r="17" spans="1:3" x14ac:dyDescent="0.4">
      <c r="A17" t="s">
        <v>47</v>
      </c>
      <c r="B17">
        <v>5</v>
      </c>
      <c r="C17">
        <v>3000</v>
      </c>
    </row>
    <row r="18" spans="1:3" x14ac:dyDescent="0.4">
      <c r="A18" t="s">
        <v>48</v>
      </c>
      <c r="B18">
        <v>15</v>
      </c>
      <c r="C18">
        <f>C17*3</f>
        <v>9000</v>
      </c>
    </row>
    <row r="19" spans="1:3" x14ac:dyDescent="0.4">
      <c r="A19" t="s">
        <v>49</v>
      </c>
      <c r="B19">
        <v>25</v>
      </c>
      <c r="C19">
        <f>C17*5</f>
        <v>15000</v>
      </c>
    </row>
    <row r="20" spans="1:3" x14ac:dyDescent="0.4">
      <c r="A20" t="s">
        <v>50</v>
      </c>
      <c r="B20">
        <v>50</v>
      </c>
      <c r="C20">
        <f>C19*2</f>
        <v>30000</v>
      </c>
    </row>
    <row r="21" spans="1:3" x14ac:dyDescent="0.4">
      <c r="A21" s="33" t="s">
        <v>59</v>
      </c>
      <c r="B21" s="32">
        <v>10</v>
      </c>
      <c r="C21" s="32">
        <v>0</v>
      </c>
    </row>
    <row r="22" spans="1:3" x14ac:dyDescent="0.4">
      <c r="A22" s="17" t="s">
        <v>51</v>
      </c>
      <c r="B22">
        <v>10</v>
      </c>
      <c r="C22">
        <v>800</v>
      </c>
    </row>
    <row r="23" spans="1:3" x14ac:dyDescent="0.4">
      <c r="A23" s="17" t="s">
        <v>52</v>
      </c>
      <c r="B23">
        <v>30</v>
      </c>
      <c r="C23">
        <v>2400</v>
      </c>
    </row>
    <row r="24" spans="1:3" x14ac:dyDescent="0.4">
      <c r="A24" s="17" t="s">
        <v>53</v>
      </c>
      <c r="B24">
        <v>50</v>
      </c>
      <c r="C24">
        <v>4000</v>
      </c>
    </row>
    <row r="25" spans="1:3" x14ac:dyDescent="0.4">
      <c r="A25" s="17" t="s">
        <v>54</v>
      </c>
      <c r="B25">
        <v>100</v>
      </c>
      <c r="C25">
        <v>8000</v>
      </c>
    </row>
    <row r="26" spans="1:3" x14ac:dyDescent="0.4">
      <c r="A26" s="35" t="s">
        <v>60</v>
      </c>
      <c r="B26" s="34">
        <v>10</v>
      </c>
      <c r="C26" s="34">
        <v>0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SummonNecklaceProbability</vt:lpstr>
      <vt:lpstr>SummonRelicProbability</vt:lpstr>
      <vt:lpstr>SummonGradeProbability</vt:lpstr>
      <vt:lpstr>SummonSkillProbability</vt:lpstr>
      <vt:lpstr>SummonLevel</vt:lpstr>
      <vt:lpstr>SummonNumberProbability</vt:lpstr>
      <vt:lpstr>SummonProduct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pcynextall</dc:creator>
  <cp:lastModifiedBy>inchol cho</cp:lastModifiedBy>
  <dcterms:created xsi:type="dcterms:W3CDTF">2015-06-05T18:19:34Z</dcterms:created>
  <dcterms:modified xsi:type="dcterms:W3CDTF">2024-12-08T08:30:24Z</dcterms:modified>
</cp:coreProperties>
</file>