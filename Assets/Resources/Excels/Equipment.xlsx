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NDC\Assets\Resources\Excels\"/>
    </mc:Choice>
  </mc:AlternateContent>
  <xr:revisionPtr revIDLastSave="0" documentId="13_ncr:1_{A5E31507-0BDB-409B-83CB-2B900EAC85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aponTranscend" sheetId="1" r:id="rId1"/>
    <sheet name="AccessoryTranscend" sheetId="2" r:id="rId2"/>
    <sheet name="TranscendMaterial" sheetId="3" r:id="rId3"/>
    <sheet name="Weapon" sheetId="4" r:id="rId4"/>
    <sheet name="Accessory" sheetId="5" r:id="rId5"/>
    <sheet name="Skill" sheetId="6" r:id="rId6"/>
    <sheet name="SkillDecomposition" sheetId="7" r:id="rId7"/>
    <sheet name="WeaponAwakening" sheetId="8" r:id="rId8"/>
    <sheet name="AccessoryAwakening" sheetId="9" r:id="rId9"/>
    <sheet name="SkillAwakening" sheetId="10" r:id="rId10"/>
    <sheet name="GrowthMaterial" sheetId="11" r:id="rId11"/>
    <sheet name="AwakeningMaterial" sheetId="12" r:id="rId12"/>
  </sheets>
  <calcPr calcId="191029"/>
</workbook>
</file>

<file path=xl/calcChain.xml><?xml version="1.0" encoding="utf-8"?>
<calcChain xmlns="http://schemas.openxmlformats.org/spreadsheetml/2006/main">
  <c r="C15" i="12" l="1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H8" i="12"/>
  <c r="C8" i="12"/>
  <c r="H7" i="12"/>
  <c r="C7" i="12"/>
  <c r="H6" i="12"/>
  <c r="C6" i="12"/>
  <c r="H5" i="12"/>
  <c r="C5" i="12"/>
  <c r="H4" i="12"/>
  <c r="C4" i="12"/>
  <c r="H3" i="12"/>
  <c r="C3" i="12"/>
  <c r="H2" i="12"/>
  <c r="C2" i="12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I36" i="9"/>
  <c r="D36" i="9"/>
  <c r="C36" i="9"/>
  <c r="B36" i="9"/>
  <c r="I35" i="9"/>
  <c r="D35" i="9"/>
  <c r="C35" i="9"/>
  <c r="B35" i="9"/>
  <c r="I34" i="9"/>
  <c r="C34" i="9"/>
  <c r="B34" i="9"/>
  <c r="I33" i="9"/>
  <c r="D33" i="9"/>
  <c r="C33" i="9"/>
  <c r="B33" i="9"/>
  <c r="I32" i="9"/>
  <c r="D32" i="9"/>
  <c r="C32" i="9"/>
  <c r="B32" i="9"/>
  <c r="I31" i="9"/>
  <c r="D31" i="9"/>
  <c r="C31" i="9"/>
  <c r="B31" i="9"/>
  <c r="I30" i="9"/>
  <c r="C30" i="9"/>
  <c r="B30" i="9"/>
  <c r="I29" i="9"/>
  <c r="D29" i="9"/>
  <c r="C29" i="9"/>
  <c r="B29" i="9"/>
  <c r="I28" i="9"/>
  <c r="D28" i="9"/>
  <c r="C28" i="9"/>
  <c r="B28" i="9"/>
  <c r="I27" i="9"/>
  <c r="D27" i="9"/>
  <c r="C27" i="9"/>
  <c r="B27" i="9"/>
  <c r="I26" i="9"/>
  <c r="C26" i="9"/>
  <c r="B26" i="9"/>
  <c r="I25" i="9"/>
  <c r="C25" i="9"/>
  <c r="B25" i="9"/>
  <c r="I24" i="9"/>
  <c r="D24" i="9"/>
  <c r="C24" i="9"/>
  <c r="B24" i="9"/>
  <c r="I23" i="9"/>
  <c r="D23" i="9"/>
  <c r="C23" i="9"/>
  <c r="B23" i="9"/>
  <c r="I22" i="9"/>
  <c r="D22" i="9"/>
  <c r="C22" i="9"/>
  <c r="B22" i="9"/>
  <c r="I21" i="9"/>
  <c r="C21" i="9"/>
  <c r="B21" i="9"/>
  <c r="I20" i="9"/>
  <c r="D20" i="9"/>
  <c r="C20" i="9"/>
  <c r="B20" i="9"/>
  <c r="I19" i="9"/>
  <c r="C19" i="9"/>
  <c r="B19" i="9"/>
  <c r="I18" i="9"/>
  <c r="C18" i="9"/>
  <c r="B18" i="9"/>
  <c r="I17" i="9"/>
  <c r="D17" i="9"/>
  <c r="C17" i="9"/>
  <c r="B17" i="9"/>
  <c r="I16" i="9"/>
  <c r="C16" i="9"/>
  <c r="B16" i="9"/>
  <c r="I15" i="9"/>
  <c r="C15" i="9"/>
  <c r="B15" i="9"/>
  <c r="I14" i="9"/>
  <c r="C14" i="9"/>
  <c r="B14" i="9"/>
  <c r="I13" i="9"/>
  <c r="C13" i="9"/>
  <c r="B13" i="9"/>
  <c r="I12" i="9"/>
  <c r="C12" i="9"/>
  <c r="B12" i="9"/>
  <c r="I11" i="9"/>
  <c r="D11" i="9"/>
  <c r="C11" i="9"/>
  <c r="B11" i="9"/>
  <c r="I10" i="9"/>
  <c r="D10" i="9"/>
  <c r="C10" i="9"/>
  <c r="B10" i="9"/>
  <c r="I9" i="9"/>
  <c r="D9" i="9"/>
  <c r="C9" i="9"/>
  <c r="B9" i="9"/>
  <c r="I8" i="9"/>
  <c r="C8" i="9"/>
  <c r="B8" i="9"/>
  <c r="I7" i="9"/>
  <c r="D7" i="9"/>
  <c r="C7" i="9"/>
  <c r="B7" i="9"/>
  <c r="I6" i="9"/>
  <c r="D6" i="9"/>
  <c r="C6" i="9"/>
  <c r="B6" i="9"/>
  <c r="I5" i="9"/>
  <c r="D5" i="9"/>
  <c r="C5" i="9"/>
  <c r="B5" i="9"/>
  <c r="I4" i="9"/>
  <c r="D4" i="9"/>
  <c r="C4" i="9"/>
  <c r="B4" i="9"/>
  <c r="I3" i="9"/>
  <c r="D3" i="9"/>
  <c r="C3" i="9"/>
  <c r="B3" i="9"/>
  <c r="I2" i="9"/>
  <c r="D2" i="9"/>
  <c r="C2" i="9"/>
  <c r="B2" i="9"/>
  <c r="Q36" i="8"/>
  <c r="I36" i="8"/>
  <c r="D36" i="8"/>
  <c r="C36" i="8"/>
  <c r="B36" i="8"/>
  <c r="Q35" i="8"/>
  <c r="I35" i="8"/>
  <c r="D35" i="8"/>
  <c r="C35" i="8"/>
  <c r="B35" i="8"/>
  <c r="Q34" i="8"/>
  <c r="I34" i="8"/>
  <c r="D34" i="8"/>
  <c r="C34" i="8"/>
  <c r="B34" i="8"/>
  <c r="Q33" i="8"/>
  <c r="I33" i="8"/>
  <c r="D33" i="8"/>
  <c r="C33" i="8"/>
  <c r="B33" i="8"/>
  <c r="Q32" i="8"/>
  <c r="I32" i="8"/>
  <c r="D32" i="8"/>
  <c r="C32" i="8"/>
  <c r="B32" i="8"/>
  <c r="Q31" i="8"/>
  <c r="I31" i="8"/>
  <c r="D31" i="8"/>
  <c r="C31" i="8"/>
  <c r="B31" i="8"/>
  <c r="Q30" i="8"/>
  <c r="I30" i="8"/>
  <c r="D30" i="8"/>
  <c r="C30" i="8"/>
  <c r="B30" i="8"/>
  <c r="Q29" i="8"/>
  <c r="I29" i="8"/>
  <c r="D29" i="8"/>
  <c r="C29" i="8"/>
  <c r="B29" i="8"/>
  <c r="Q28" i="8"/>
  <c r="I28" i="8"/>
  <c r="D28" i="8"/>
  <c r="C28" i="8"/>
  <c r="B28" i="8"/>
  <c r="Q27" i="8"/>
  <c r="I27" i="8"/>
  <c r="D27" i="8"/>
  <c r="C27" i="8"/>
  <c r="B27" i="8"/>
  <c r="Q26" i="8"/>
  <c r="I26" i="8"/>
  <c r="C26" i="8"/>
  <c r="B26" i="8"/>
  <c r="Q25" i="8"/>
  <c r="I25" i="8"/>
  <c r="D25" i="8"/>
  <c r="C25" i="8"/>
  <c r="B25" i="8"/>
  <c r="Q24" i="8"/>
  <c r="I24" i="8"/>
  <c r="D24" i="8"/>
  <c r="C24" i="8"/>
  <c r="B24" i="8"/>
  <c r="Q23" i="8"/>
  <c r="I23" i="8"/>
  <c r="D23" i="8"/>
  <c r="C23" i="8"/>
  <c r="B23" i="8"/>
  <c r="Q22" i="8"/>
  <c r="I22" i="8"/>
  <c r="C22" i="8"/>
  <c r="B22" i="8"/>
  <c r="Q21" i="8"/>
  <c r="I21" i="8"/>
  <c r="D21" i="8"/>
  <c r="C21" i="8"/>
  <c r="B21" i="8"/>
  <c r="Q20" i="8"/>
  <c r="I20" i="8"/>
  <c r="D20" i="8"/>
  <c r="C20" i="8"/>
  <c r="B20" i="8"/>
  <c r="Q19" i="8"/>
  <c r="I19" i="8"/>
  <c r="D19" i="8"/>
  <c r="C19" i="8"/>
  <c r="B19" i="8"/>
  <c r="Q18" i="8"/>
  <c r="I18" i="8"/>
  <c r="D18" i="8"/>
  <c r="C18" i="8"/>
  <c r="B18" i="8"/>
  <c r="Q17" i="8"/>
  <c r="I17" i="8"/>
  <c r="D17" i="8"/>
  <c r="C17" i="8"/>
  <c r="B17" i="8"/>
  <c r="Q16" i="8"/>
  <c r="I16" i="8"/>
  <c r="D16" i="8"/>
  <c r="C16" i="8"/>
  <c r="B16" i="8"/>
  <c r="Q15" i="8"/>
  <c r="I15" i="8"/>
  <c r="D15" i="8"/>
  <c r="C15" i="8"/>
  <c r="B15" i="8"/>
  <c r="Q14" i="8"/>
  <c r="I14" i="8"/>
  <c r="D14" i="8"/>
  <c r="C14" i="8"/>
  <c r="B14" i="8"/>
  <c r="Q13" i="8"/>
  <c r="I13" i="8"/>
  <c r="D13" i="8"/>
  <c r="C13" i="8"/>
  <c r="B13" i="8"/>
  <c r="Q12" i="8"/>
  <c r="I12" i="8"/>
  <c r="C12" i="8"/>
  <c r="B12" i="8"/>
  <c r="Q11" i="8"/>
  <c r="I11" i="8"/>
  <c r="D11" i="8"/>
  <c r="C11" i="8"/>
  <c r="B11" i="8"/>
  <c r="Q10" i="8"/>
  <c r="I10" i="8"/>
  <c r="D10" i="8"/>
  <c r="C10" i="8"/>
  <c r="B10" i="8"/>
  <c r="Q9" i="8"/>
  <c r="I9" i="8"/>
  <c r="D9" i="8"/>
  <c r="C9" i="8"/>
  <c r="B9" i="8"/>
  <c r="Q8" i="8"/>
  <c r="I8" i="8"/>
  <c r="D8" i="8"/>
  <c r="C8" i="8"/>
  <c r="B8" i="8"/>
  <c r="Q7" i="8"/>
  <c r="I7" i="8"/>
  <c r="D7" i="8"/>
  <c r="C7" i="8"/>
  <c r="B7" i="8"/>
  <c r="Q6" i="8"/>
  <c r="I6" i="8"/>
  <c r="D6" i="8"/>
  <c r="C6" i="8"/>
  <c r="B6" i="8"/>
  <c r="Q5" i="8"/>
  <c r="I5" i="8"/>
  <c r="D5" i="8"/>
  <c r="C5" i="8"/>
  <c r="B5" i="8"/>
  <c r="Q4" i="8"/>
  <c r="I4" i="8"/>
  <c r="D4" i="8"/>
  <c r="C4" i="8"/>
  <c r="B4" i="8"/>
  <c r="Q3" i="8"/>
  <c r="I3" i="8"/>
  <c r="D3" i="8"/>
  <c r="C3" i="8"/>
  <c r="B3" i="8"/>
  <c r="Q2" i="8"/>
  <c r="I2" i="8"/>
  <c r="D2" i="8"/>
  <c r="C2" i="8"/>
  <c r="B2" i="8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M15" i="3"/>
  <c r="B15" i="3"/>
  <c r="M14" i="3"/>
  <c r="B14" i="3"/>
  <c r="M13" i="3"/>
  <c r="B13" i="3"/>
  <c r="M12" i="3"/>
  <c r="B12" i="3"/>
  <c r="M11" i="3"/>
  <c r="B11" i="3"/>
  <c r="M10" i="3"/>
  <c r="B10" i="3"/>
  <c r="M9" i="3"/>
  <c r="B9" i="3"/>
  <c r="M8" i="3"/>
  <c r="B8" i="3"/>
  <c r="M7" i="3"/>
  <c r="B7" i="3"/>
  <c r="M6" i="3"/>
  <c r="B6" i="3"/>
  <c r="M5" i="3"/>
  <c r="B5" i="3"/>
  <c r="M4" i="3"/>
  <c r="B4" i="3"/>
  <c r="M3" i="3"/>
  <c r="B3" i="3"/>
  <c r="M2" i="3"/>
  <c r="B2" i="3"/>
  <c r="D22" i="8" l="1"/>
  <c r="D12" i="8"/>
  <c r="I8" i="12"/>
  <c r="I7" i="12"/>
  <c r="I6" i="12"/>
  <c r="I5" i="12"/>
  <c r="I4" i="12"/>
  <c r="I3" i="12"/>
  <c r="I2" i="12"/>
  <c r="D21" i="9"/>
  <c r="D19" i="9"/>
  <c r="D16" i="9"/>
  <c r="D30" i="9"/>
  <c r="D8" i="9"/>
  <c r="D26" i="9"/>
  <c r="D25" i="9"/>
  <c r="D18" i="9"/>
  <c r="D34" i="9"/>
  <c r="D14" i="9"/>
  <c r="D13" i="9"/>
  <c r="D12" i="9"/>
  <c r="D26" i="8"/>
  <c r="D15" i="9"/>
  <c r="N15" i="3"/>
  <c r="N14" i="3"/>
  <c r="N13" i="3"/>
  <c r="N12" i="3"/>
  <c r="N11" i="3"/>
  <c r="N10" i="3"/>
  <c r="N8" i="3"/>
  <c r="N7" i="3"/>
  <c r="N6" i="3"/>
  <c r="N5" i="3"/>
  <c r="N4" i="3"/>
  <c r="N3" i="3"/>
  <c r="N2" i="3"/>
  <c r="N9" i="3"/>
  <c r="J8" i="12" l="1"/>
  <c r="K8" i="12" s="1"/>
  <c r="B8" i="12"/>
  <c r="J7" i="12"/>
  <c r="K7" i="12" s="1"/>
  <c r="B7" i="12"/>
  <c r="J6" i="12"/>
  <c r="K6" i="12" s="1"/>
  <c r="B6" i="12"/>
  <c r="J5" i="12"/>
  <c r="K5" i="12" s="1"/>
  <c r="B5" i="12"/>
  <c r="J4" i="12"/>
  <c r="K4" i="12" s="1"/>
  <c r="B4" i="12"/>
  <c r="J3" i="12"/>
  <c r="K3" i="12" s="1"/>
  <c r="B3" i="12"/>
  <c r="J2" i="12"/>
  <c r="K2" i="12" s="1"/>
  <c r="B2" i="12"/>
  <c r="O15" i="3"/>
  <c r="P15" i="3" s="1"/>
  <c r="Q15" i="3" s="1"/>
  <c r="R15" i="3" s="1"/>
  <c r="O14" i="3"/>
  <c r="P14" i="3" s="1"/>
  <c r="Q14" i="3" s="1"/>
  <c r="R14" i="3" s="1"/>
  <c r="C14" i="3"/>
  <c r="O13" i="3"/>
  <c r="P13" i="3" s="1"/>
  <c r="Q13" i="3" s="1"/>
  <c r="R13" i="3" s="1"/>
  <c r="C13" i="3"/>
  <c r="O12" i="3"/>
  <c r="P12" i="3" s="1"/>
  <c r="Q12" i="3" s="1"/>
  <c r="R12" i="3" s="1"/>
  <c r="O11" i="3"/>
  <c r="P11" i="3" s="1"/>
  <c r="Q11" i="3" s="1"/>
  <c r="R11" i="3" s="1"/>
  <c r="C11" i="3"/>
  <c r="O10" i="3"/>
  <c r="P10" i="3" s="1"/>
  <c r="Q10" i="3" s="1"/>
  <c r="R10" i="3" s="1"/>
  <c r="C10" i="3"/>
  <c r="O8" i="3"/>
  <c r="P8" i="3" s="1"/>
  <c r="Q8" i="3" s="1"/>
  <c r="R8" i="3" s="1"/>
  <c r="O7" i="3"/>
  <c r="P7" i="3" s="1"/>
  <c r="Q7" i="3" s="1"/>
  <c r="R7" i="3" s="1"/>
  <c r="O6" i="3"/>
  <c r="P6" i="3" s="1"/>
  <c r="Q6" i="3" s="1"/>
  <c r="R6" i="3" s="1"/>
  <c r="C6" i="3"/>
  <c r="O5" i="3"/>
  <c r="P5" i="3" s="1"/>
  <c r="Q5" i="3" s="1"/>
  <c r="R5" i="3" s="1"/>
  <c r="O4" i="3"/>
  <c r="P4" i="3" s="1"/>
  <c r="Q4" i="3" s="1"/>
  <c r="R4" i="3" s="1"/>
  <c r="C4" i="3"/>
  <c r="O3" i="3"/>
  <c r="P3" i="3" s="1"/>
  <c r="Q3" i="3" s="1"/>
  <c r="R3" i="3" s="1"/>
  <c r="C3" i="3"/>
  <c r="O2" i="3"/>
  <c r="P2" i="3" s="1"/>
  <c r="Q2" i="3" s="1"/>
  <c r="R2" i="3" s="1"/>
  <c r="O9" i="3"/>
  <c r="P9" i="3" s="1"/>
  <c r="Q9" i="3" s="1"/>
  <c r="R9" i="3" s="1"/>
  <c r="C9" i="3"/>
  <c r="C8" i="3" l="1"/>
  <c r="C7" i="3"/>
  <c r="C2" i="3"/>
  <c r="C15" i="3"/>
  <c r="C12" i="3"/>
  <c r="C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tc={F3256F05-179E-46DA-8564-9418E2201CF4}</author>
  </authors>
  <commentList>
    <comment ref="G1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치명타 확률은 0.01 곱하면 %가 되도록 쓴다 (예시. 50 = 0.5%)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tc={64345D5C-3A0F-4CD6-A6C5-440313AF3281}</author>
  </authors>
  <commentList>
    <comment ref="G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치명타 확률은 0.01 곱하면 %가 되도록 쓴다 (예시. 50 = 0.5%)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tc={06C2D1D2-A2B4-4B9C-85DB-A208C426D7F8}</author>
  </authors>
  <commentList>
    <comment ref="K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치명타 확률은 0.01 곱하면 %가 되도록 쓴다 (예시. 50 = 0.5%)</t>
        </r>
      </text>
    </comment>
  </commentList>
</comments>
</file>

<file path=xl/sharedStrings.xml><?xml version="1.0" encoding="utf-8"?>
<sst xmlns="http://schemas.openxmlformats.org/spreadsheetml/2006/main" count="1650" uniqueCount="506">
  <si>
    <t>Id</t>
  </si>
  <si>
    <t>AwaekingCounts</t>
  </si>
  <si>
    <t>TranscendStones</t>
  </si>
  <si>
    <t>AwaekingCounts1</t>
  </si>
  <si>
    <t>AwaekingCountst2</t>
  </si>
  <si>
    <t>AwaekingCounts3</t>
  </si>
  <si>
    <t>AwaekingCounts4</t>
  </si>
  <si>
    <t>AwaekingCounts5</t>
  </si>
  <si>
    <t>AwaekingCounts6</t>
  </si>
  <si>
    <t>AwaekingCounts7</t>
  </si>
  <si>
    <t>EnchantStoneCount1</t>
  </si>
  <si>
    <t>EnchantStoneCount2</t>
  </si>
  <si>
    <t>EnchantStoneCount3</t>
  </si>
  <si>
    <t>EnchantStoneCount4</t>
  </si>
  <si>
    <t>EnchantStoneCount5</t>
  </si>
  <si>
    <t>EnchantStoneCount6</t>
  </si>
  <si>
    <t>EnchantStoneCount7</t>
  </si>
  <si>
    <t>WeaponId</t>
  </si>
  <si>
    <t>TranscendAttackStats</t>
  </si>
  <si>
    <t>Value1</t>
  </si>
  <si>
    <t>Value2</t>
  </si>
  <si>
    <t>Value3</t>
  </si>
  <si>
    <t>Value4</t>
  </si>
  <si>
    <t>Value5</t>
  </si>
  <si>
    <t>Value6</t>
  </si>
  <si>
    <t>Value7</t>
  </si>
  <si>
    <t>AccessoryId</t>
  </si>
  <si>
    <t>TranscendHPStats</t>
  </si>
  <si>
    <t>NameId</t>
  </si>
  <si>
    <t>Grade</t>
  </si>
  <si>
    <t>FullGrade</t>
  </si>
  <si>
    <t>EquipAttack</t>
  </si>
  <si>
    <t>EquipGrowthAttack</t>
  </si>
  <si>
    <t>OwnAttack</t>
  </si>
  <si>
    <t>OwnGrowthAttack</t>
  </si>
  <si>
    <t>Awakening</t>
  </si>
  <si>
    <t>AwakeningMaterial</t>
  </si>
  <si>
    <t>Resource</t>
  </si>
  <si>
    <t>SpineRightHandSkin</t>
  </si>
  <si>
    <t>PrevId</t>
  </si>
  <si>
    <t>NextId</t>
  </si>
  <si>
    <t>Name</t>
  </si>
  <si>
    <t>Normal</t>
  </si>
  <si>
    <t>Normal1</t>
  </si>
  <si>
    <t>Scythe (1)</t>
  </si>
  <si>
    <t>RIGHTHAND/Sword_TwoHand_Common1</t>
  </si>
  <si>
    <t>녹슨 낫</t>
  </si>
  <si>
    <t>Normal2</t>
  </si>
  <si>
    <t>Scythe (2)</t>
  </si>
  <si>
    <t>RIGHTHAND/Spear_TwoHand_Common2</t>
  </si>
  <si>
    <t>그을린 낫</t>
  </si>
  <si>
    <t>Normal3</t>
  </si>
  <si>
    <t>Scythe (3)</t>
  </si>
  <si>
    <t>RIGHTHAND/Sword_TwoHand_Common3</t>
  </si>
  <si>
    <t>무명의 낫</t>
  </si>
  <si>
    <t>Normal4</t>
  </si>
  <si>
    <t>Scythe (4)</t>
  </si>
  <si>
    <t>RIGHTHAND/Spear_TwoHand_Common4</t>
  </si>
  <si>
    <t>견습생의 낫</t>
  </si>
  <si>
    <t>Normal5</t>
  </si>
  <si>
    <t>Scythe (5)</t>
  </si>
  <si>
    <t>인턴의 낫</t>
  </si>
  <si>
    <t>Magic</t>
  </si>
  <si>
    <t>Magic1</t>
  </si>
  <si>
    <t>Scythe (6)</t>
  </si>
  <si>
    <t>RIGHTHAND/Spear_TwoHand_Uncommon1</t>
  </si>
  <si>
    <t>용기의 낫</t>
  </si>
  <si>
    <t>Magic2</t>
  </si>
  <si>
    <t>Scythe (7)</t>
  </si>
  <si>
    <t>RIGHTHAND/Sword_TwoHand_Uncommon2</t>
  </si>
  <si>
    <t>신념의 낫</t>
  </si>
  <si>
    <t>Magic3</t>
  </si>
  <si>
    <t>Scythe (8)</t>
  </si>
  <si>
    <t>RIGHTHAND/Spear_TwoHand_Uncommon3</t>
  </si>
  <si>
    <t>신뢰의 낫</t>
  </si>
  <si>
    <t>Magic4</t>
  </si>
  <si>
    <t>Scythe (9)</t>
  </si>
  <si>
    <t>RIGHTHAND/Sword_TwoHand_Uncommon4</t>
  </si>
  <si>
    <t>저주의 낫</t>
  </si>
  <si>
    <t>Magic5</t>
  </si>
  <si>
    <t>Scythe (10)</t>
  </si>
  <si>
    <t>사신의 낫</t>
  </si>
  <si>
    <t>Rare</t>
  </si>
  <si>
    <t>Rare1</t>
  </si>
  <si>
    <t>Scythe (11)</t>
  </si>
  <si>
    <t>RIGHTHAND/Sword_TwoHand_Rare1</t>
  </si>
  <si>
    <t>신속의 낫</t>
  </si>
  <si>
    <t>Rare2</t>
  </si>
  <si>
    <t>Scythe (12)</t>
  </si>
  <si>
    <t>RIGHTHAND/Spear_TwoHand_Rare2</t>
  </si>
  <si>
    <t>정령의 낫</t>
  </si>
  <si>
    <t>Rare3</t>
  </si>
  <si>
    <t>Scythe (13)</t>
  </si>
  <si>
    <t>RIGHTHAND/Sword_TwoHand_Rare3</t>
  </si>
  <si>
    <t>영원의 낫</t>
  </si>
  <si>
    <t>Rare4</t>
  </si>
  <si>
    <t>Scythe (14)</t>
  </si>
  <si>
    <t>RIGHTHAND/Spear_TwoHand_Rare4</t>
  </si>
  <si>
    <t>고통의 낫</t>
  </si>
  <si>
    <t>Rare5</t>
  </si>
  <si>
    <t>Scythe (15)</t>
  </si>
  <si>
    <t>매니저의 낫</t>
  </si>
  <si>
    <t>Unique</t>
  </si>
  <si>
    <t>Unique1</t>
  </si>
  <si>
    <t>Scythe (16)</t>
  </si>
  <si>
    <t>RIGHTHAND/Spear_TwoHand_Epic1</t>
  </si>
  <si>
    <t>숲의 낫</t>
  </si>
  <si>
    <t>Unique2</t>
  </si>
  <si>
    <t>Scythe (17)</t>
  </si>
  <si>
    <t>RIGHTHAND/Sword_TwoHand_Epic2</t>
  </si>
  <si>
    <t>바다의 낫</t>
  </si>
  <si>
    <t>Unique3</t>
  </si>
  <si>
    <t>Scythe (18)</t>
  </si>
  <si>
    <t>RIGHTHAND/Spear_TwoHand_Epic3</t>
  </si>
  <si>
    <t>하늘의 낫</t>
  </si>
  <si>
    <t>Unique4</t>
  </si>
  <si>
    <t>Scythe (19)</t>
  </si>
  <si>
    <t>RIGHTHAND/Sword_TwoHand_Epic4</t>
  </si>
  <si>
    <t>대지의 낫</t>
  </si>
  <si>
    <t>Unique5</t>
  </si>
  <si>
    <t>Scythe (20)</t>
  </si>
  <si>
    <t>마스터의 낫</t>
  </si>
  <si>
    <t>Heroic</t>
  </si>
  <si>
    <t>Heroic1</t>
  </si>
  <si>
    <t>Scythe (21)</t>
  </si>
  <si>
    <t>RIGHTHAND/Sword_TwoHand_Epic1</t>
  </si>
  <si>
    <t>빛의 낫</t>
  </si>
  <si>
    <t>Heroic2</t>
  </si>
  <si>
    <t>Scythe (22)</t>
  </si>
  <si>
    <t>RIGHTHAND/Spear_TwoHand_Epic2</t>
  </si>
  <si>
    <t>어둠의 낫</t>
  </si>
  <si>
    <t>Heroic3</t>
  </si>
  <si>
    <t>Scythe (23)</t>
  </si>
  <si>
    <t>RIGHTHAND/Sword_TwoHand_Epic3</t>
  </si>
  <si>
    <t>태고의 낫</t>
  </si>
  <si>
    <t>Heroic4</t>
  </si>
  <si>
    <t>Scythe (24)</t>
  </si>
  <si>
    <t>RIGHTHAND/Spear_TwoHand_Epic4</t>
  </si>
  <si>
    <t>업화의 낫</t>
  </si>
  <si>
    <t>Heroic5</t>
  </si>
  <si>
    <t>Scythe (25)</t>
  </si>
  <si>
    <t>치프의 낫</t>
  </si>
  <si>
    <t>Legendary</t>
  </si>
  <si>
    <t>Legendary1</t>
  </si>
  <si>
    <t>Scythe (26)</t>
  </si>
  <si>
    <t>RIGHTHAND/Spear_TwoHand_Legendary1</t>
  </si>
  <si>
    <t>공허</t>
  </si>
  <si>
    <t>Legendary2</t>
  </si>
  <si>
    <t>Scythe (27)</t>
  </si>
  <si>
    <t>RIGHTHAND/Sword_TwoHand_Legendary2</t>
  </si>
  <si>
    <t>냉혈</t>
  </si>
  <si>
    <t>Legendary3</t>
  </si>
  <si>
    <t>Scythe (28)</t>
  </si>
  <si>
    <t>RIGHTHAND/Spear_TwoHand_Legendary3</t>
  </si>
  <si>
    <t>백화요란</t>
  </si>
  <si>
    <t>Legendary4</t>
  </si>
  <si>
    <t>Scythe (29)</t>
  </si>
  <si>
    <t>RIGHTHAND/Sword_TwoHand_Legendary4</t>
  </si>
  <si>
    <t>영혼 탈곡기</t>
  </si>
  <si>
    <t>Legendary5</t>
  </si>
  <si>
    <t>Scythe (30)</t>
  </si>
  <si>
    <t>죽음의 천사</t>
  </si>
  <si>
    <t>Mythic</t>
  </si>
  <si>
    <t>Mythic1</t>
  </si>
  <si>
    <t>Scythe (31)</t>
  </si>
  <si>
    <t>RIGHTHAND/Sword_TwoHand_Legendary1</t>
  </si>
  <si>
    <t>트와일라잇</t>
  </si>
  <si>
    <t>Mythic2</t>
  </si>
  <si>
    <t>Scythe (32)</t>
  </si>
  <si>
    <t>RIGHTHAND/Spear_TwoHand_Legendary2</t>
  </si>
  <si>
    <t>인페르노</t>
  </si>
  <si>
    <t>Mythic3</t>
  </si>
  <si>
    <t>Scythe (33)</t>
  </si>
  <si>
    <t>RIGHTHAND/Sword_TwoHand_Legendary3</t>
  </si>
  <si>
    <t>크로노스</t>
  </si>
  <si>
    <t>Mythic4</t>
  </si>
  <si>
    <t>Scythe (34)</t>
  </si>
  <si>
    <t>RIGHTHAND/Spear_TwoHand_Legendary4</t>
  </si>
  <si>
    <t>크리사오르</t>
  </si>
  <si>
    <t>Mythic5</t>
  </si>
  <si>
    <t>Scythe (35)</t>
  </si>
  <si>
    <t>안나</t>
  </si>
  <si>
    <t>EquipHp</t>
  </si>
  <si>
    <t>EquipGrowthHp</t>
  </si>
  <si>
    <t>OwnHp</t>
  </si>
  <si>
    <t>OwnGrowthHp</t>
  </si>
  <si>
    <t>SpineLeftHandSkin</t>
  </si>
  <si>
    <t>Ring (1)</t>
  </si>
  <si>
    <t>LEFTHAND/Shield_Small_Common1</t>
  </si>
  <si>
    <t>녹슨 반지</t>
  </si>
  <si>
    <t>Ring (2)</t>
  </si>
  <si>
    <t>LEFTHAND/Shield_Large_Common2</t>
  </si>
  <si>
    <t>그을린 반지</t>
  </si>
  <si>
    <t>Ring (3)</t>
  </si>
  <si>
    <t>LEFTHAND/Shield_Small_Common3</t>
  </si>
  <si>
    <t>무명의 반지</t>
  </si>
  <si>
    <t>Ring (4)</t>
  </si>
  <si>
    <t>LEFTHAND/Shield_Large_Common1</t>
  </si>
  <si>
    <t>견습생의 반지</t>
  </si>
  <si>
    <t>Ring (5)</t>
  </si>
  <si>
    <t>LEFTHAND/Shield_Small_Common2</t>
  </si>
  <si>
    <t>인턴의 반지</t>
  </si>
  <si>
    <t>Ring (6)</t>
  </si>
  <si>
    <t>LEFTHAND/Shield_Large_Uncommon1</t>
  </si>
  <si>
    <t>용기의 반지</t>
  </si>
  <si>
    <t>Ring (7)</t>
  </si>
  <si>
    <t>LEFTHAND/Shield_Small_Uncommon2</t>
  </si>
  <si>
    <t>신념의 반지</t>
  </si>
  <si>
    <t>Ring (8)</t>
  </si>
  <si>
    <t>LEFTHAND/Shield_Large_Uncommon3</t>
  </si>
  <si>
    <t>신뢰의 반지</t>
  </si>
  <si>
    <t>Ring (9)</t>
  </si>
  <si>
    <t>LEFTHAND/Shield_Small_Uncommon1</t>
  </si>
  <si>
    <t>저주의 반지</t>
  </si>
  <si>
    <t>Ring (10)</t>
  </si>
  <si>
    <t>LEFTHAND/Shield_Large_Uncommon2</t>
  </si>
  <si>
    <t>사신의 반지</t>
  </si>
  <si>
    <t>Ring (11)</t>
  </si>
  <si>
    <t>LEFTHAND/Shield_Small_Rare1</t>
  </si>
  <si>
    <t>신속의 반지</t>
  </si>
  <si>
    <t>Ring (12)</t>
  </si>
  <si>
    <t>LEFTHAND/Shield_Large_Rare2</t>
  </si>
  <si>
    <t>정령의 반지</t>
  </si>
  <si>
    <t>Ring (13)</t>
  </si>
  <si>
    <t>LEFTHAND/Shield_Small_Rare3</t>
  </si>
  <si>
    <t>영원의 반지</t>
  </si>
  <si>
    <t>Ring (14)</t>
  </si>
  <si>
    <t>LEFTHAND/Shield_Large_Rare1</t>
  </si>
  <si>
    <t>고통의 반지</t>
  </si>
  <si>
    <t>Ring (15)</t>
  </si>
  <si>
    <t>LEFTHAND/Shield_Small_Rare2</t>
  </si>
  <si>
    <t>매니저의 반지</t>
  </si>
  <si>
    <t>Ring (16)</t>
  </si>
  <si>
    <t>LEFTHAND/Shield_Large_Epic1</t>
  </si>
  <si>
    <t>숲의 반지</t>
  </si>
  <si>
    <t>Ring (17)</t>
  </si>
  <si>
    <t>LEFTHAND/Shield_Small_Epic2</t>
  </si>
  <si>
    <t>바다의 반지</t>
  </si>
  <si>
    <t>Ring (18)</t>
  </si>
  <si>
    <t>LEFTHAND/Shield_Large_Epic3</t>
  </si>
  <si>
    <t>하늘의 반지</t>
  </si>
  <si>
    <t>Ring (19)</t>
  </si>
  <si>
    <t>LEFTHAND/Shield_Small_Epic1</t>
  </si>
  <si>
    <t>대지의 반지</t>
  </si>
  <si>
    <t>Ring (20)</t>
  </si>
  <si>
    <t>LEFTHAND/Shield_Large_Epic2</t>
  </si>
  <si>
    <t>마스터의 반지</t>
  </si>
  <si>
    <t>Ring (21)</t>
  </si>
  <si>
    <t>빛의 반지</t>
  </si>
  <si>
    <t>Ring (22)</t>
  </si>
  <si>
    <t>어둠의 반지</t>
  </si>
  <si>
    <t>Ring (23)</t>
  </si>
  <si>
    <t>LEFTHAND/Shield_Small_Epic3</t>
  </si>
  <si>
    <t>태고의 반지</t>
  </si>
  <si>
    <t>Ring (24)</t>
  </si>
  <si>
    <t>업화의 반지</t>
  </si>
  <si>
    <t>Ring (25)</t>
  </si>
  <si>
    <t>치프의 반지</t>
  </si>
  <si>
    <t>Ring (26)</t>
  </si>
  <si>
    <t>LEFTHAND/Shield_Large_Legendary1</t>
  </si>
  <si>
    <t>갈증</t>
  </si>
  <si>
    <t>Ring (27)</t>
  </si>
  <si>
    <t>LEFTHAND/Shield_Small_Legendary2</t>
  </si>
  <si>
    <t>선지자의 눈</t>
  </si>
  <si>
    <t>Ring (28)</t>
  </si>
  <si>
    <t>LEFTHAND/Shield_Large_Legendary3</t>
  </si>
  <si>
    <t>뫼비우스의 띠</t>
  </si>
  <si>
    <t>Ring (29)</t>
  </si>
  <si>
    <t>LEFTHAND/Shield_Small_Legendary1</t>
  </si>
  <si>
    <t>소울테이커</t>
  </si>
  <si>
    <t>Ring (30)</t>
  </si>
  <si>
    <t>LEFTHAND/Shield_Large_Legendary2</t>
  </si>
  <si>
    <t>죽음의 인장</t>
  </si>
  <si>
    <t>Ring (31)</t>
  </si>
  <si>
    <t>데이브레이크</t>
  </si>
  <si>
    <t>Ring (32)</t>
  </si>
  <si>
    <t>네메시스</t>
  </si>
  <si>
    <t>Ring (33)</t>
  </si>
  <si>
    <t>LEFTHAND/Shield_Small_Legendary3</t>
  </si>
  <si>
    <t>데빌하트</t>
  </si>
  <si>
    <t>Ring (34)</t>
  </si>
  <si>
    <t>기게스의 반지</t>
  </si>
  <si>
    <t>Ring (35)</t>
  </si>
  <si>
    <t>절대자의 상징</t>
  </si>
  <si>
    <t>Sound</t>
  </si>
  <si>
    <t>CoolTime</t>
  </si>
  <si>
    <t>SkillTarget</t>
  </si>
  <si>
    <t>ToDo</t>
  </si>
  <si>
    <t>Delay</t>
  </si>
  <si>
    <t>GrowthAttack</t>
  </si>
  <si>
    <t>Animation</t>
  </si>
  <si>
    <t>ShakeOnHit</t>
  </si>
  <si>
    <t>EffectPosition</t>
  </si>
  <si>
    <t>EffectPrefab</t>
  </si>
  <si>
    <t>DescriptionId</t>
  </si>
  <si>
    <t>Description</t>
  </si>
  <si>
    <t>Skill12</t>
  </si>
  <si>
    <t>Range:Effect:3:2:-1</t>
  </si>
  <si>
    <t>["DotAttack:28:0.2:2"]</t>
  </si>
  <si>
    <t>Attack2</t>
  </si>
  <si>
    <t>Random</t>
  </si>
  <si>
    <t>Skill_1</t>
  </si>
  <si>
    <t>잔불</t>
  </si>
  <si>
    <t>다크클라우드</t>
  </si>
  <si>
    <t>{2}초간 {3}마다 {1}%의 피해를 입힌다.</t>
  </si>
  <si>
    <t>Skill4</t>
  </si>
  <si>
    <t>Number:3:1</t>
  </si>
  <si>
    <t>["TargetAttack:240"]</t>
  </si>
  <si>
    <t>Player</t>
  </si>
  <si>
    <t>Skill_2</t>
  </si>
  <si>
    <t>유도 화살</t>
  </si>
  <si>
    <t>폭발영혼</t>
  </si>
  <si>
    <t>{1}%의 피해를 입힌다.</t>
  </si>
  <si>
    <t>Skill11</t>
  </si>
  <si>
    <t>Range:Player:3:-1</t>
  </si>
  <si>
    <t>["DotAttack:50:0.2:2"]</t>
  </si>
  <si>
    <t>Skill_3</t>
  </si>
  <si>
    <t>스모크</t>
  </si>
  <si>
    <t>라이트닝필드</t>
  </si>
  <si>
    <t>Skill14</t>
  </si>
  <si>
    <t>Range:Target:3:1.5:-1</t>
  </si>
  <si>
    <t>["Stun:1.5", "Attack:80"]</t>
  </si>
  <si>
    <t>Skill_4</t>
  </si>
  <si>
    <t>별똥별</t>
  </si>
  <si>
    <t>메테오</t>
  </si>
  <si>
    <t>{4}초의 스턴과 {1}%의 피해를 입힌다.</t>
  </si>
  <si>
    <t>Range:Player:2:-1</t>
  </si>
  <si>
    <t>["DotAttack:28:0.2:5"]</t>
  </si>
  <si>
    <t>Skill_5</t>
  </si>
  <si>
    <t>분쇄</t>
  </si>
  <si>
    <t>["DotAttack:30:0.4:4"]</t>
  </si>
  <si>
    <t>Skill_6</t>
  </si>
  <si>
    <t>역풍</t>
  </si>
  <si>
    <t>Skill17</t>
  </si>
  <si>
    <t>Number:3:3</t>
  </si>
  <si>
    <t>["TargetAttack:110"]</t>
  </si>
  <si>
    <t>Skill_7</t>
  </si>
  <si>
    <t>다중 폭격</t>
  </si>
  <si>
    <t>폭발영혼 다발</t>
  </si>
  <si>
    <t>{4}개의 공격을 날리며 각각 {1}%의 피해를 입힌다.</t>
  </si>
  <si>
    <t>Skill18</t>
  </si>
  <si>
    <t>["Attack:800"]</t>
  </si>
  <si>
    <t>Target</t>
  </si>
  <si>
    <t>Skill_8</t>
  </si>
  <si>
    <t>징벌</t>
  </si>
  <si>
    <t>성검소환</t>
  </si>
  <si>
    <t>["TargetAttack:310"]</t>
  </si>
  <si>
    <t>Skill_9</t>
  </si>
  <si>
    <t>마법 폭탄</t>
  </si>
  <si>
    <t>Skill6</t>
  </si>
  <si>
    <t>["Stun:2", "Attack:265"]</t>
  </si>
  <si>
    <t>Skill_10</t>
  </si>
  <si>
    <t>마력 집중</t>
  </si>
  <si>
    <t>워스톰프</t>
  </si>
  <si>
    <t>Skill8</t>
  </si>
  <si>
    <t>Straight:3:-1:2</t>
  </si>
  <si>
    <t>["DotAttack:33:0.1:1.2"]</t>
  </si>
  <si>
    <t>PlayerDirection</t>
  </si>
  <si>
    <t>Skill_11</t>
  </si>
  <si>
    <t>얼음 장판</t>
  </si>
  <si>
    <t>광선포</t>
  </si>
  <si>
    <t>Skill13</t>
  </si>
  <si>
    <t>Range:Effect:2:1.5:-1</t>
  </si>
  <si>
    <t>["DotAttack:80:0.2:2"]</t>
  </si>
  <si>
    <t>MoveRandom</t>
  </si>
  <si>
    <t>Skill_12</t>
  </si>
  <si>
    <t>망령</t>
  </si>
  <si>
    <t>아이스토네이도</t>
  </si>
  <si>
    <t>["DotAttack:45:0.4:8"]</t>
  </si>
  <si>
    <t>Skill_13</t>
  </si>
  <si>
    <t>자기장</t>
  </si>
  <si>
    <t>["DotAttack:62:0.3:3"]</t>
  </si>
  <si>
    <t>Skill_14</t>
  </si>
  <si>
    <t>균열</t>
  </si>
  <si>
    <t>["Stun:2", "Attack:400"]</t>
  </si>
  <si>
    <t>Skill_15</t>
  </si>
  <si>
    <t>플라즈마 구체</t>
  </si>
  <si>
    <t>Skill21</t>
  </si>
  <si>
    <t>Range:Effect:3:5:-1</t>
  </si>
  <si>
    <t>["DotAttack:202:0.4:2"]</t>
  </si>
  <si>
    <t>Skill_16</t>
  </si>
  <si>
    <t>눈보라</t>
  </si>
  <si>
    <t>신의 강림</t>
  </si>
  <si>
    <t>Skill2</t>
  </si>
  <si>
    <t>Number:2:1</t>
  </si>
  <si>
    <t>["Attack:3800"]</t>
  </si>
  <si>
    <t>Skill_17</t>
  </si>
  <si>
    <t>마법 칼날</t>
  </si>
  <si>
    <t>데스싸이스</t>
  </si>
  <si>
    <t>["Stun:3", "Attack:1173"]</t>
  </si>
  <si>
    <t>Skill_18</t>
  </si>
  <si>
    <t>방울 감옥</t>
  </si>
  <si>
    <t>Skill19</t>
  </si>
  <si>
    <t>["DotAttack:63:0.3:6"]</t>
  </si>
  <si>
    <t>Skill_19</t>
  </si>
  <si>
    <t>빛의 장막</t>
  </si>
  <si>
    <t>망자의 손아귀</t>
  </si>
  <si>
    <t>Skill20</t>
  </si>
  <si>
    <t>Range:Effect:2.8:3.6:-1</t>
  </si>
  <si>
    <t>["Push:1.2:0:1:1", "Attack:1270"]</t>
  </si>
  <si>
    <t>Skill_20</t>
  </si>
  <si>
    <t>녹색 폭발</t>
  </si>
  <si>
    <t>지옥의 부름</t>
  </si>
  <si>
    <t>Number:4:1</t>
  </si>
  <si>
    <t>["TargetAttack:1600"]</t>
  </si>
  <si>
    <t>Skill_21</t>
  </si>
  <si>
    <t>마법 미사일</t>
  </si>
  <si>
    <t>["DotAttack:210:0.3:3"]</t>
  </si>
  <si>
    <t>Skill_22</t>
  </si>
  <si>
    <t>불의 길</t>
  </si>
  <si>
    <t>Skill15</t>
  </si>
  <si>
    <t>["Push:0.8:0:0.5:2.5", "DotAttack:235:0.5:3"]</t>
  </si>
  <si>
    <t>Skill_23</t>
  </si>
  <si>
    <t>매직 서클</t>
  </si>
  <si>
    <t>화염장막</t>
  </si>
  <si>
    <t>["Attack:1300"]</t>
  </si>
  <si>
    <t>Skill_24</t>
  </si>
  <si>
    <t>운석 다발</t>
  </si>
  <si>
    <t>Range:Effect:1:1.5:-1</t>
  </si>
  <si>
    <t>["DotAttack:111:0.1:3"]</t>
  </si>
  <si>
    <t>Skill_25</t>
  </si>
  <si>
    <t>마력 결정체</t>
  </si>
  <si>
    <t>Skill16</t>
  </si>
  <si>
    <t>Range:Effect:3:3:-1</t>
  </si>
  <si>
    <t>["Gather:4:2", "Attack:1920"]</t>
  </si>
  <si>
    <t>Skill_26</t>
  </si>
  <si>
    <t>우주의 심판</t>
  </si>
  <si>
    <t>블랙홀</t>
  </si>
  <si>
    <t>Number:4:30</t>
  </si>
  <si>
    <t>Skill_27</t>
  </si>
  <si>
    <t>천벌</t>
  </si>
  <si>
    <t>["DotAttack:238:0.2:5"]</t>
  </si>
  <si>
    <t>Skill_28</t>
  </si>
  <si>
    <t>화산 폭발</t>
  </si>
  <si>
    <t>공격</t>
  </si>
  <si>
    <t>Attack:데미지%</t>
  </si>
  <si>
    <t>도트 공격</t>
  </si>
  <si>
    <t>DotAttack:데미지%:시간간격:총시간</t>
  </si>
  <si>
    <t>기절</t>
  </si>
  <si>
    <t>Stun:시간</t>
  </si>
  <si>
    <t>밀기</t>
  </si>
  <si>
    <t>Push:거리:시작 딜레이:시간간격:총시간(시작 딜레이 제외)</t>
  </si>
  <si>
    <t>애니메이션 실행 도중에 이펙트가 나오고 그 때 데미지도 들어감</t>
  </si>
  <si>
    <t>모으기</t>
  </si>
  <si>
    <t>Gather:모아놓는시간:모이는거리</t>
  </si>
  <si>
    <t>애니메이션 실행 도중에 이펙트가 나오고, 이펙트 안에 특정 타이밍에 데미지가 들어감</t>
  </si>
  <si>
    <t>범위 공격</t>
  </si>
  <si>
    <t>Range:Player:범위:타겟 수</t>
  </si>
  <si>
    <t>Range:Target/Effect:첫타겟범위:범위:타겟 수</t>
  </si>
  <si>
    <t>타겟 공격</t>
  </si>
  <si>
    <t>Number:첫타겟범위:타겟팅 수</t>
  </si>
  <si>
    <t>직선 공격</t>
  </si>
  <si>
    <t>Straight:첫타겟범위:직선범위:가로범위</t>
  </si>
  <si>
    <t>범위가 -1: 보이는 화면 전체</t>
  </si>
  <si>
    <t>범위 공격 타겟 수가 -1: 범위에 있는 전체 몬스터</t>
  </si>
  <si>
    <t>SkillGrowthStone</t>
  </si>
  <si>
    <t>Levels</t>
  </si>
  <si>
    <t>Options</t>
  </si>
  <si>
    <t>Stats</t>
  </si>
  <si>
    <t>Option1</t>
  </si>
  <si>
    <t>Option2</t>
  </si>
  <si>
    <t>Option3</t>
  </si>
  <si>
    <t>Option4</t>
  </si>
  <si>
    <t>Option5</t>
  </si>
  <si>
    <t>Option6</t>
  </si>
  <si>
    <t>Option7</t>
  </si>
  <si>
    <t>Level0</t>
  </si>
  <si>
    <t>Level1</t>
  </si>
  <si>
    <t>Level2</t>
  </si>
  <si>
    <t>Level3</t>
  </si>
  <si>
    <t>Level4</t>
  </si>
  <si>
    <t>Level5</t>
  </si>
  <si>
    <t>Level6</t>
  </si>
  <si>
    <t>Level7</t>
  </si>
  <si>
    <t>Attack</t>
  </si>
  <si>
    <t>AttackBonus</t>
  </si>
  <si>
    <t>CriticalProbability</t>
  </si>
  <si>
    <t>CriticalAttackBonus</t>
  </si>
  <si>
    <t>AwakeningAttackBonus</t>
  </si>
  <si>
    <t>Hp</t>
  </si>
  <si>
    <t>HpBonus</t>
  </si>
  <si>
    <t>StageExpEarn</t>
  </si>
  <si>
    <t>StageGoldEarn</t>
  </si>
  <si>
    <t>StageGrowthEarn</t>
  </si>
  <si>
    <t>AwakeningHpBonus</t>
  </si>
  <si>
    <t>[20,40,70,100,130,150]</t>
  </si>
  <si>
    <t>["None","SpecificSkillAttackBonus","SkillAttackBonus","BossAttackBonus","AwakeningHpBonus","AwakeningAttackBonus"]</t>
  </si>
  <si>
    <t>SpecificSkillAttackBonus</t>
  </si>
  <si>
    <t>BossAttackBonus</t>
  </si>
  <si>
    <t>SkillAttackBonus</t>
  </si>
  <si>
    <t>Stones</t>
  </si>
  <si>
    <t>EquipmentCounts</t>
  </si>
  <si>
    <t>EquipmentCount1</t>
  </si>
  <si>
    <t>EquipmentCount2</t>
  </si>
  <si>
    <t>EquipmentCount3</t>
  </si>
  <si>
    <t>EquipmentCount4</t>
  </si>
  <si>
    <t>EquipmentCount5</t>
  </si>
  <si>
    <t>EquipmentCount6</t>
  </si>
  <si>
    <t>EquipmentCount7</t>
  </si>
  <si>
    <t>StoneCount1</t>
  </si>
  <si>
    <t>StoneCount2</t>
  </si>
  <si>
    <t>StoneCount3</t>
  </si>
  <si>
    <t>StoneCount4</t>
  </si>
  <si>
    <t>StoneCount5</t>
  </si>
  <si>
    <t>StoneCount6</t>
  </si>
  <si>
    <t>StoneCount7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</si>
</sst>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00%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4" fillId="0" borderId="0">
      <alignment vertical="center"/>
    </xf>
  </cellStyleXfs>
  <cellXfs count="6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fill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77" fontId="0" fillId="0" borderId="0" xfId="1" applyNumberFormat="1" applyFont="1" applyAlignment="1">
      <alignment horizontal="center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3" fillId="0" borderId="0" xfId="0" applyFont="1"/>
    <xf numFmtId="0" fontId="3" fillId="0" borderId="5" xfId="0" applyFont="1" applyBorder="1"/>
    <xf numFmtId="0" fontId="3" fillId="0" borderId="8" xfId="0" applyFont="1" applyBorder="1"/>
    <xf numFmtId="0" fontId="3" fillId="0" borderId="3" xfId="0" applyFont="1" applyBorder="1"/>
    <xf numFmtId="0" fontId="0" fillId="0" borderId="5" xfId="0" applyBorder="1"/>
    <xf numFmtId="0" fontId="0" fillId="0" borderId="4" xfId="0" applyBorder="1"/>
    <xf numFmtId="0" fontId="0" fillId="0" borderId="8" xfId="0" applyBorder="1"/>
    <xf numFmtId="3" fontId="0" fillId="0" borderId="0" xfId="0" applyNumberFormat="1" applyAlignment="1">
      <alignment horizontal="center" vertic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/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20" fontId="0" fillId="0" borderId="0" xfId="0" applyNumberFormat="1"/>
    <xf numFmtId="46" fontId="0" fillId="0" borderId="0" xfId="0" applyNumberFormat="1"/>
    <xf numFmtId="0" fontId="5" fillId="0" borderId="10" xfId="0" applyFont="1" applyBorder="1" applyAlignment="1">
      <alignment horizontal="center" vertical="center" wrapText="1"/>
    </xf>
    <xf numFmtId="0" fontId="3" fillId="0" borderId="1" xfId="0" applyFont="1" applyBorder="1"/>
    <xf numFmtId="3" fontId="3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0" fillId="10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2">
    <cellStyle name="백분율" xfId="1" builtinId="5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C5" sqref="C5"/>
    </sheetView>
  </sheetViews>
  <sheetFormatPr defaultRowHeight="17.399999999999999"/>
  <cols>
    <col min="1" max="1" width="3.19921875" bestFit="1" customWidth="1"/>
    <col min="2" max="2" width="9.69921875" bestFit="1" customWidth="1"/>
    <col min="3" max="3" width="24.19921875" bestFit="1" customWidth="1"/>
    <col min="4" max="4" width="8.19921875" customWidth="1"/>
    <col min="5" max="11" width="6.69921875" bestFit="1" customWidth="1"/>
  </cols>
  <sheetData>
    <row r="1" spans="1:11" ht="17.55" customHeight="1" thickBot="1">
      <c r="A1" s="1" t="s">
        <v>0</v>
      </c>
      <c r="B1" s="1" t="s">
        <v>17</v>
      </c>
      <c r="C1" s="1" t="s">
        <v>18</v>
      </c>
      <c r="D1" s="1"/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ht="16.5" customHeight="1">
      <c r="A2" s="2">
        <v>1</v>
      </c>
      <c r="B2" s="2">
        <v>1</v>
      </c>
      <c r="C2" s="3" t="str">
        <f t="shared" ref="C2:C36" si="0">"[0," &amp; $E2 &amp; "," &amp;$F2 &amp; "," &amp;$G2 &amp; "," &amp; $H2 &amp; "," &amp;$I2&amp; "," &amp;$J2 &amp; "," &amp;$K2&amp; "]"</f>
        <v>[0,1,1.5,2,2.5,3,3.5,4]</v>
      </c>
      <c r="D2" s="16"/>
      <c r="E2" s="2">
        <v>1</v>
      </c>
      <c r="F2" s="2">
        <v>1.5</v>
      </c>
      <c r="G2" s="2">
        <v>2</v>
      </c>
      <c r="H2" s="2">
        <v>2.5</v>
      </c>
      <c r="I2" s="2">
        <v>3</v>
      </c>
      <c r="J2" s="2">
        <v>3.5</v>
      </c>
      <c r="K2" s="2">
        <v>4</v>
      </c>
    </row>
    <row r="3" spans="1:11" ht="16.5" customHeight="1">
      <c r="A3" s="2">
        <v>2</v>
      </c>
      <c r="B3" s="2">
        <v>2</v>
      </c>
      <c r="C3" s="3" t="str">
        <f t="shared" si="0"/>
        <v>[0,1,1.5,2,2.5,3,3.5,4]</v>
      </c>
      <c r="D3" s="16"/>
      <c r="E3" s="2">
        <v>1</v>
      </c>
      <c r="F3" s="2">
        <v>1.5</v>
      </c>
      <c r="G3" s="2">
        <v>2</v>
      </c>
      <c r="H3" s="2">
        <v>2.5</v>
      </c>
      <c r="I3" s="2">
        <v>3</v>
      </c>
      <c r="J3" s="2">
        <v>3.5</v>
      </c>
      <c r="K3" s="2">
        <v>4</v>
      </c>
    </row>
    <row r="4" spans="1:11" ht="16.5" customHeight="1">
      <c r="A4" s="2">
        <v>3</v>
      </c>
      <c r="B4" s="2">
        <v>3</v>
      </c>
      <c r="C4" s="3" t="str">
        <f t="shared" si="0"/>
        <v>[0,1,1.5,2,2.5,3,3.5,4]</v>
      </c>
      <c r="D4" s="16"/>
      <c r="E4" s="2">
        <v>1</v>
      </c>
      <c r="F4" s="2">
        <v>1.5</v>
      </c>
      <c r="G4" s="2">
        <v>2</v>
      </c>
      <c r="H4" s="2">
        <v>2.5</v>
      </c>
      <c r="I4" s="2">
        <v>3</v>
      </c>
      <c r="J4" s="2">
        <v>3.5</v>
      </c>
      <c r="K4" s="2">
        <v>4</v>
      </c>
    </row>
    <row r="5" spans="1:11" ht="16.5" customHeight="1">
      <c r="A5" s="2">
        <v>4</v>
      </c>
      <c r="B5" s="2">
        <v>4</v>
      </c>
      <c r="C5" s="3" t="str">
        <f t="shared" si="0"/>
        <v>[0,1,1.5,2,2.5,3,3.5,4]</v>
      </c>
      <c r="D5" s="16"/>
      <c r="E5" s="2">
        <v>1</v>
      </c>
      <c r="F5" s="2">
        <v>1.5</v>
      </c>
      <c r="G5" s="2">
        <v>2</v>
      </c>
      <c r="H5" s="2">
        <v>2.5</v>
      </c>
      <c r="I5" s="2">
        <v>3</v>
      </c>
      <c r="J5" s="2">
        <v>3.5</v>
      </c>
      <c r="K5" s="2">
        <v>4</v>
      </c>
    </row>
    <row r="6" spans="1:11" ht="16.5" customHeight="1">
      <c r="A6" s="4">
        <v>5</v>
      </c>
      <c r="B6" s="2">
        <v>5</v>
      </c>
      <c r="C6" s="3" t="str">
        <f t="shared" si="0"/>
        <v>[0,1,1.5,2,2.5,3,3.5,4]</v>
      </c>
      <c r="D6" s="16"/>
      <c r="E6" s="2">
        <v>1</v>
      </c>
      <c r="F6" s="2">
        <v>1.5</v>
      </c>
      <c r="G6" s="2">
        <v>2</v>
      </c>
      <c r="H6" s="2">
        <v>2.5</v>
      </c>
      <c r="I6" s="2">
        <v>3</v>
      </c>
      <c r="J6" s="2">
        <v>3.5</v>
      </c>
      <c r="K6" s="2">
        <v>4</v>
      </c>
    </row>
    <row r="7" spans="1:11" ht="16.5" customHeight="1">
      <c r="A7" s="2">
        <v>6</v>
      </c>
      <c r="B7" s="2">
        <v>6</v>
      </c>
      <c r="C7" s="3" t="str">
        <f t="shared" si="0"/>
        <v>[0,2,3,4,5,6,7,8]</v>
      </c>
      <c r="D7" s="16"/>
      <c r="E7" s="2">
        <v>2</v>
      </c>
      <c r="F7" s="2">
        <v>3</v>
      </c>
      <c r="G7" s="2">
        <v>4</v>
      </c>
      <c r="H7" s="2">
        <v>5</v>
      </c>
      <c r="I7" s="2">
        <v>6.0000000000000009</v>
      </c>
      <c r="J7" s="2">
        <v>7.0000000000000009</v>
      </c>
      <c r="K7" s="2">
        <v>8</v>
      </c>
    </row>
    <row r="8" spans="1:11" ht="16.5" customHeight="1">
      <c r="A8" s="2">
        <v>7</v>
      </c>
      <c r="B8" s="2">
        <v>7</v>
      </c>
      <c r="C8" s="3" t="str">
        <f t="shared" si="0"/>
        <v>[0,2,3,4,5,6,7,8]</v>
      </c>
      <c r="D8" s="16"/>
      <c r="E8" s="2">
        <v>2</v>
      </c>
      <c r="F8" s="2">
        <v>3</v>
      </c>
      <c r="G8" s="2">
        <v>4</v>
      </c>
      <c r="H8" s="2">
        <v>5</v>
      </c>
      <c r="I8" s="2">
        <v>6.0000000000000009</v>
      </c>
      <c r="J8" s="2">
        <v>7.0000000000000009</v>
      </c>
      <c r="K8" s="2">
        <v>8</v>
      </c>
    </row>
    <row r="9" spans="1:11" ht="16.5" customHeight="1">
      <c r="A9" s="2">
        <v>8</v>
      </c>
      <c r="B9" s="2">
        <v>8</v>
      </c>
      <c r="C9" s="3" t="str">
        <f t="shared" si="0"/>
        <v>[0,2,3,4,5,6,7,8]</v>
      </c>
      <c r="D9" s="16"/>
      <c r="E9" s="2">
        <v>2</v>
      </c>
      <c r="F9" s="2">
        <v>3</v>
      </c>
      <c r="G9" s="2">
        <v>4</v>
      </c>
      <c r="H9" s="2">
        <v>5</v>
      </c>
      <c r="I9" s="2">
        <v>6.0000000000000009</v>
      </c>
      <c r="J9" s="2">
        <v>7.0000000000000009</v>
      </c>
      <c r="K9" s="2">
        <v>8</v>
      </c>
    </row>
    <row r="10" spans="1:11" ht="16.5" customHeight="1">
      <c r="A10" s="2">
        <v>9</v>
      </c>
      <c r="B10" s="2">
        <v>9</v>
      </c>
      <c r="C10" s="3" t="str">
        <f t="shared" si="0"/>
        <v>[0,2,3,4,5,6,7,8]</v>
      </c>
      <c r="D10" s="16"/>
      <c r="E10" s="2">
        <v>2</v>
      </c>
      <c r="F10" s="2">
        <v>3</v>
      </c>
      <c r="G10" s="2">
        <v>4</v>
      </c>
      <c r="H10" s="2">
        <v>5</v>
      </c>
      <c r="I10" s="2">
        <v>6.0000000000000009</v>
      </c>
      <c r="J10" s="2">
        <v>7.0000000000000009</v>
      </c>
      <c r="K10" s="2">
        <v>8</v>
      </c>
    </row>
    <row r="11" spans="1:11" ht="16.5" customHeight="1">
      <c r="A11" s="5">
        <v>10</v>
      </c>
      <c r="B11" s="2">
        <v>10</v>
      </c>
      <c r="C11" s="3" t="str">
        <f t="shared" si="0"/>
        <v>[0,2,3,4,5,6,7,8]</v>
      </c>
      <c r="D11" s="16"/>
      <c r="E11" s="2">
        <v>2</v>
      </c>
      <c r="F11" s="2">
        <v>3</v>
      </c>
      <c r="G11" s="2">
        <v>4</v>
      </c>
      <c r="H11" s="2">
        <v>5</v>
      </c>
      <c r="I11" s="2">
        <v>6.0000000000000009</v>
      </c>
      <c r="J11" s="2">
        <v>7.0000000000000009</v>
      </c>
      <c r="K11" s="2">
        <v>8</v>
      </c>
    </row>
    <row r="12" spans="1:11" ht="16.5" customHeight="1">
      <c r="A12" s="2">
        <v>11</v>
      </c>
      <c r="B12" s="2">
        <v>11</v>
      </c>
      <c r="C12" s="3" t="str">
        <f t="shared" si="0"/>
        <v>[0,3,4.5,6,7.5,9,10.5,12]</v>
      </c>
      <c r="D12" s="16"/>
      <c r="E12" s="2">
        <v>3</v>
      </c>
      <c r="F12" s="2">
        <v>4.5</v>
      </c>
      <c r="G12" s="2">
        <v>6</v>
      </c>
      <c r="H12" s="2">
        <v>7.5</v>
      </c>
      <c r="I12" s="2">
        <v>9</v>
      </c>
      <c r="J12" s="2">
        <v>10.5</v>
      </c>
      <c r="K12" s="2">
        <v>12</v>
      </c>
    </row>
    <row r="13" spans="1:11" ht="16.5" customHeight="1">
      <c r="A13" s="2">
        <v>12</v>
      </c>
      <c r="B13" s="2">
        <v>12</v>
      </c>
      <c r="C13" s="3" t="str">
        <f t="shared" si="0"/>
        <v>[0,3,4.5,6,7.5,9,10.5,12]</v>
      </c>
      <c r="D13" s="16"/>
      <c r="E13" s="2">
        <v>3</v>
      </c>
      <c r="F13" s="2">
        <v>4.5</v>
      </c>
      <c r="G13" s="2">
        <v>6</v>
      </c>
      <c r="H13" s="2">
        <v>7.5</v>
      </c>
      <c r="I13" s="2">
        <v>9</v>
      </c>
      <c r="J13" s="2">
        <v>10.5</v>
      </c>
      <c r="K13" s="2">
        <v>12</v>
      </c>
    </row>
    <row r="14" spans="1:11" ht="16.5" customHeight="1">
      <c r="A14" s="2">
        <v>13</v>
      </c>
      <c r="B14" s="2">
        <v>13</v>
      </c>
      <c r="C14" s="3" t="str">
        <f t="shared" si="0"/>
        <v>[0,3,4.5,6,7.5,9,10.5,12]</v>
      </c>
      <c r="D14" s="16"/>
      <c r="E14" s="2">
        <v>3</v>
      </c>
      <c r="F14" s="2">
        <v>4.5</v>
      </c>
      <c r="G14" s="2">
        <v>6</v>
      </c>
      <c r="H14" s="2">
        <v>7.5</v>
      </c>
      <c r="I14" s="2">
        <v>9</v>
      </c>
      <c r="J14" s="2">
        <v>10.5</v>
      </c>
      <c r="K14" s="2">
        <v>12</v>
      </c>
    </row>
    <row r="15" spans="1:11" ht="16.5" customHeight="1">
      <c r="A15" s="2">
        <v>14</v>
      </c>
      <c r="B15" s="2">
        <v>14</v>
      </c>
      <c r="C15" s="3" t="str">
        <f t="shared" si="0"/>
        <v>[0,3,4.5,6,7.5,9,10.5,12]</v>
      </c>
      <c r="D15" s="16"/>
      <c r="E15" s="2">
        <v>3</v>
      </c>
      <c r="F15" s="2">
        <v>4.5</v>
      </c>
      <c r="G15" s="2">
        <v>6</v>
      </c>
      <c r="H15" s="2">
        <v>7.5</v>
      </c>
      <c r="I15" s="2">
        <v>9</v>
      </c>
      <c r="J15" s="2">
        <v>10.5</v>
      </c>
      <c r="K15" s="2">
        <v>12</v>
      </c>
    </row>
    <row r="16" spans="1:11" ht="16.5" customHeight="1">
      <c r="A16" s="6">
        <v>15</v>
      </c>
      <c r="B16" s="2">
        <v>15</v>
      </c>
      <c r="C16" s="3" t="str">
        <f t="shared" si="0"/>
        <v>[0,3,4.5,6,7.5,9,10.5,12]</v>
      </c>
      <c r="D16" s="16"/>
      <c r="E16" s="2">
        <v>3</v>
      </c>
      <c r="F16" s="2">
        <v>4.5</v>
      </c>
      <c r="G16" s="2">
        <v>6</v>
      </c>
      <c r="H16" s="2">
        <v>7.5</v>
      </c>
      <c r="I16" s="2">
        <v>9</v>
      </c>
      <c r="J16" s="2">
        <v>10.5</v>
      </c>
      <c r="K16" s="2">
        <v>12</v>
      </c>
    </row>
    <row r="17" spans="1:11" ht="16.5" customHeight="1">
      <c r="A17" s="2">
        <v>16</v>
      </c>
      <c r="B17" s="2">
        <v>16</v>
      </c>
      <c r="C17" s="3" t="str">
        <f t="shared" si="0"/>
        <v>[0,4,6,8,10,12,14,16]</v>
      </c>
      <c r="D17" s="16"/>
      <c r="E17" s="2">
        <v>4</v>
      </c>
      <c r="F17" s="2">
        <v>6.0000000000000009</v>
      </c>
      <c r="G17" s="2">
        <v>8</v>
      </c>
      <c r="H17" s="2">
        <v>10</v>
      </c>
      <c r="I17" s="2">
        <v>12</v>
      </c>
      <c r="J17" s="2">
        <v>14</v>
      </c>
      <c r="K17" s="2">
        <v>16</v>
      </c>
    </row>
    <row r="18" spans="1:11" ht="16.5" customHeight="1">
      <c r="A18" s="2">
        <v>17</v>
      </c>
      <c r="B18" s="2">
        <v>17</v>
      </c>
      <c r="C18" s="3" t="str">
        <f t="shared" si="0"/>
        <v>[0,4,6,8,10,12,14,16]</v>
      </c>
      <c r="D18" s="16"/>
      <c r="E18" s="2">
        <v>4</v>
      </c>
      <c r="F18" s="2">
        <v>6.0000000000000009</v>
      </c>
      <c r="G18" s="2">
        <v>8</v>
      </c>
      <c r="H18" s="2">
        <v>10</v>
      </c>
      <c r="I18" s="2">
        <v>12</v>
      </c>
      <c r="J18" s="2">
        <v>14</v>
      </c>
      <c r="K18" s="2">
        <v>16</v>
      </c>
    </row>
    <row r="19" spans="1:11" ht="16.5" customHeight="1">
      <c r="A19" s="2">
        <v>18</v>
      </c>
      <c r="B19" s="2">
        <v>18</v>
      </c>
      <c r="C19" s="3" t="str">
        <f t="shared" si="0"/>
        <v>[0,4,6,8,10,12,14,16]</v>
      </c>
      <c r="D19" s="16"/>
      <c r="E19" s="2">
        <v>4</v>
      </c>
      <c r="F19" s="2">
        <v>6.0000000000000009</v>
      </c>
      <c r="G19" s="2">
        <v>8</v>
      </c>
      <c r="H19" s="2">
        <v>10</v>
      </c>
      <c r="I19" s="2">
        <v>12</v>
      </c>
      <c r="J19" s="2">
        <v>14</v>
      </c>
      <c r="K19" s="2">
        <v>16</v>
      </c>
    </row>
    <row r="20" spans="1:11" ht="16.5" customHeight="1">
      <c r="A20" s="2">
        <v>19</v>
      </c>
      <c r="B20" s="2">
        <v>19</v>
      </c>
      <c r="C20" s="3" t="str">
        <f t="shared" si="0"/>
        <v>[0,4,6,8,10,12,14,16]</v>
      </c>
      <c r="D20" s="16"/>
      <c r="E20" s="2">
        <v>4</v>
      </c>
      <c r="F20" s="2">
        <v>6.0000000000000009</v>
      </c>
      <c r="G20" s="2">
        <v>8</v>
      </c>
      <c r="H20" s="2">
        <v>10</v>
      </c>
      <c r="I20" s="2">
        <v>12</v>
      </c>
      <c r="J20" s="2">
        <v>14</v>
      </c>
      <c r="K20" s="2">
        <v>16</v>
      </c>
    </row>
    <row r="21" spans="1:11" ht="16.5" customHeight="1">
      <c r="A21" s="7">
        <v>20</v>
      </c>
      <c r="B21" s="2">
        <v>20</v>
      </c>
      <c r="C21" s="3" t="str">
        <f t="shared" si="0"/>
        <v>[0,4,6,8,10,12,14,16]</v>
      </c>
      <c r="D21" s="16"/>
      <c r="E21" s="2">
        <v>4</v>
      </c>
      <c r="F21" s="2">
        <v>6.0000000000000009</v>
      </c>
      <c r="G21" s="2">
        <v>8</v>
      </c>
      <c r="H21" s="2">
        <v>10</v>
      </c>
      <c r="I21" s="2">
        <v>12</v>
      </c>
      <c r="J21" s="2">
        <v>14</v>
      </c>
      <c r="K21" s="2">
        <v>16</v>
      </c>
    </row>
    <row r="22" spans="1:11" ht="16.5" customHeight="1">
      <c r="A22" s="2">
        <v>21</v>
      </c>
      <c r="B22" s="2">
        <v>21</v>
      </c>
      <c r="C22" s="3" t="str">
        <f t="shared" si="0"/>
        <v>[0,5,7.5,10,12.5,15,17.5,20]</v>
      </c>
      <c r="D22" s="16"/>
      <c r="E22" s="2">
        <v>5</v>
      </c>
      <c r="F22" s="2">
        <v>7.5</v>
      </c>
      <c r="G22" s="2">
        <v>10</v>
      </c>
      <c r="H22" s="2">
        <v>12.5</v>
      </c>
      <c r="I22" s="2">
        <v>15</v>
      </c>
      <c r="J22" s="2">
        <v>17.5</v>
      </c>
      <c r="K22" s="2">
        <v>20</v>
      </c>
    </row>
    <row r="23" spans="1:11" ht="16.5" customHeight="1">
      <c r="A23" s="2">
        <v>22</v>
      </c>
      <c r="B23" s="2">
        <v>22</v>
      </c>
      <c r="C23" s="3" t="str">
        <f t="shared" si="0"/>
        <v>[0,5,7.5,10,12.5,15,17.5,20]</v>
      </c>
      <c r="D23" s="16"/>
      <c r="E23" s="2">
        <v>5</v>
      </c>
      <c r="F23" s="2">
        <v>7.5</v>
      </c>
      <c r="G23" s="2">
        <v>10</v>
      </c>
      <c r="H23" s="2">
        <v>12.5</v>
      </c>
      <c r="I23" s="2">
        <v>15</v>
      </c>
      <c r="J23" s="2">
        <v>17.5</v>
      </c>
      <c r="K23" s="2">
        <v>20</v>
      </c>
    </row>
    <row r="24" spans="1:11" ht="16.5" customHeight="1">
      <c r="A24" s="2">
        <v>23</v>
      </c>
      <c r="B24" s="2">
        <v>23</v>
      </c>
      <c r="C24" s="3" t="str">
        <f t="shared" si="0"/>
        <v>[0,5,7.5,10,12.5,15,17.5,20]</v>
      </c>
      <c r="D24" s="16"/>
      <c r="E24" s="2">
        <v>5</v>
      </c>
      <c r="F24" s="2">
        <v>7.5</v>
      </c>
      <c r="G24" s="2">
        <v>10</v>
      </c>
      <c r="H24" s="2">
        <v>12.5</v>
      </c>
      <c r="I24" s="2">
        <v>15</v>
      </c>
      <c r="J24" s="2">
        <v>17.5</v>
      </c>
      <c r="K24" s="2">
        <v>20</v>
      </c>
    </row>
    <row r="25" spans="1:11" ht="16.5" customHeight="1">
      <c r="A25" s="2">
        <v>24</v>
      </c>
      <c r="B25" s="2">
        <v>24</v>
      </c>
      <c r="C25" s="3" t="str">
        <f t="shared" si="0"/>
        <v>[0,5,7.5,10,12.5,15,17.5,20]</v>
      </c>
      <c r="D25" s="16"/>
      <c r="E25" s="2">
        <v>5</v>
      </c>
      <c r="F25" s="2">
        <v>7.5</v>
      </c>
      <c r="G25" s="2">
        <v>10</v>
      </c>
      <c r="H25" s="2">
        <v>12.5</v>
      </c>
      <c r="I25" s="2">
        <v>15</v>
      </c>
      <c r="J25" s="2">
        <v>17.5</v>
      </c>
      <c r="K25" s="2">
        <v>20</v>
      </c>
    </row>
    <row r="26" spans="1:11" ht="16.5" customHeight="1">
      <c r="A26" s="8">
        <v>25</v>
      </c>
      <c r="B26" s="2">
        <v>25</v>
      </c>
      <c r="C26" s="3" t="str">
        <f t="shared" si="0"/>
        <v>[0,5,7.5,10,12.5,15,17.5,20]</v>
      </c>
      <c r="D26" s="16"/>
      <c r="E26" s="2">
        <v>5</v>
      </c>
      <c r="F26" s="2">
        <v>7.5</v>
      </c>
      <c r="G26" s="2">
        <v>10</v>
      </c>
      <c r="H26" s="2">
        <v>12.5</v>
      </c>
      <c r="I26" s="2">
        <v>15</v>
      </c>
      <c r="J26" s="2">
        <v>17.5</v>
      </c>
      <c r="K26" s="2">
        <v>20</v>
      </c>
    </row>
    <row r="27" spans="1:11" ht="16.5" customHeight="1">
      <c r="A27" s="2">
        <v>26</v>
      </c>
      <c r="B27" s="2">
        <v>26</v>
      </c>
      <c r="C27" s="3" t="str">
        <f t="shared" si="0"/>
        <v>[0,6,9,12,15,18,21,24]</v>
      </c>
      <c r="D27" s="16"/>
      <c r="E27" s="2">
        <v>6</v>
      </c>
      <c r="F27" s="2">
        <v>9</v>
      </c>
      <c r="G27" s="2">
        <v>12</v>
      </c>
      <c r="H27" s="2">
        <v>15</v>
      </c>
      <c r="I27" s="2">
        <v>18</v>
      </c>
      <c r="J27" s="2">
        <v>21</v>
      </c>
      <c r="K27" s="2">
        <v>24</v>
      </c>
    </row>
    <row r="28" spans="1:11" ht="16.5" customHeight="1">
      <c r="A28" s="2">
        <v>27</v>
      </c>
      <c r="B28" s="2">
        <v>27</v>
      </c>
      <c r="C28" s="3" t="str">
        <f t="shared" si="0"/>
        <v>[0,6,9,12,15,18,21,24]</v>
      </c>
      <c r="D28" s="16"/>
      <c r="E28" s="2">
        <v>6</v>
      </c>
      <c r="F28" s="2">
        <v>9</v>
      </c>
      <c r="G28" s="2">
        <v>12</v>
      </c>
      <c r="H28" s="2">
        <v>15</v>
      </c>
      <c r="I28" s="2">
        <v>18</v>
      </c>
      <c r="J28" s="2">
        <v>21</v>
      </c>
      <c r="K28" s="2">
        <v>24</v>
      </c>
    </row>
    <row r="29" spans="1:11" ht="16.5" customHeight="1">
      <c r="A29" s="2">
        <v>28</v>
      </c>
      <c r="B29" s="2">
        <v>28</v>
      </c>
      <c r="C29" s="3" t="str">
        <f t="shared" si="0"/>
        <v>[0,6,9,12,15,18,21,24]</v>
      </c>
      <c r="D29" s="16"/>
      <c r="E29" s="2">
        <v>6</v>
      </c>
      <c r="F29" s="2">
        <v>9</v>
      </c>
      <c r="G29" s="2">
        <v>12</v>
      </c>
      <c r="H29" s="2">
        <v>15</v>
      </c>
      <c r="I29" s="2">
        <v>18</v>
      </c>
      <c r="J29" s="2">
        <v>21</v>
      </c>
      <c r="K29" s="2">
        <v>24</v>
      </c>
    </row>
    <row r="30" spans="1:11" ht="16.5" customHeight="1">
      <c r="A30" s="2">
        <v>29</v>
      </c>
      <c r="B30" s="2">
        <v>29</v>
      </c>
      <c r="C30" s="3" t="str">
        <f t="shared" si="0"/>
        <v>[0,6,9,12,15,18,21,24]</v>
      </c>
      <c r="D30" s="16"/>
      <c r="E30" s="2">
        <v>6</v>
      </c>
      <c r="F30" s="2">
        <v>9</v>
      </c>
      <c r="G30" s="2">
        <v>12</v>
      </c>
      <c r="H30" s="2">
        <v>15</v>
      </c>
      <c r="I30" s="2">
        <v>18</v>
      </c>
      <c r="J30" s="2">
        <v>21</v>
      </c>
      <c r="K30" s="2">
        <v>24</v>
      </c>
    </row>
    <row r="31" spans="1:11" ht="16.5" customHeight="1">
      <c r="A31" s="8">
        <v>30</v>
      </c>
      <c r="B31" s="2">
        <v>30</v>
      </c>
      <c r="C31" s="3" t="str">
        <f t="shared" si="0"/>
        <v>[0,6,9,12,15,18,21,24]</v>
      </c>
      <c r="D31" s="16"/>
      <c r="E31" s="2">
        <v>6</v>
      </c>
      <c r="F31" s="2">
        <v>9</v>
      </c>
      <c r="G31" s="2">
        <v>12</v>
      </c>
      <c r="H31" s="2">
        <v>15</v>
      </c>
      <c r="I31" s="2">
        <v>18</v>
      </c>
      <c r="J31" s="2">
        <v>21</v>
      </c>
      <c r="K31" s="2">
        <v>24</v>
      </c>
    </row>
    <row r="32" spans="1:11" ht="16.5" customHeight="1">
      <c r="A32" s="2">
        <v>31</v>
      </c>
      <c r="B32" s="2">
        <v>31</v>
      </c>
      <c r="C32" s="3" t="str">
        <f t="shared" si="0"/>
        <v>[0,7,10.5,14,17.5,21,24.5,28]</v>
      </c>
      <c r="D32" s="16"/>
      <c r="E32" s="2">
        <v>7</v>
      </c>
      <c r="F32" s="2">
        <v>10.5</v>
      </c>
      <c r="G32" s="2">
        <v>14</v>
      </c>
      <c r="H32" s="2">
        <v>17.5</v>
      </c>
      <c r="I32" s="2">
        <v>21</v>
      </c>
      <c r="J32" s="2">
        <v>24.5</v>
      </c>
      <c r="K32" s="2">
        <v>28</v>
      </c>
    </row>
    <row r="33" spans="1:11" ht="16.5" customHeight="1">
      <c r="A33" s="2">
        <v>32</v>
      </c>
      <c r="B33" s="2">
        <v>32</v>
      </c>
      <c r="C33" s="3" t="str">
        <f t="shared" si="0"/>
        <v>[0,7,10.5,14,17.5,21,24.5,28]</v>
      </c>
      <c r="D33" s="16"/>
      <c r="E33" s="2">
        <v>7</v>
      </c>
      <c r="F33" s="2">
        <v>10.5</v>
      </c>
      <c r="G33" s="2">
        <v>14</v>
      </c>
      <c r="H33" s="2">
        <v>17.5</v>
      </c>
      <c r="I33" s="2">
        <v>21</v>
      </c>
      <c r="J33" s="2">
        <v>24.5</v>
      </c>
      <c r="K33" s="2">
        <v>28</v>
      </c>
    </row>
    <row r="34" spans="1:11" ht="16.5" customHeight="1">
      <c r="A34" s="2">
        <v>33</v>
      </c>
      <c r="B34" s="2">
        <v>33</v>
      </c>
      <c r="C34" s="3" t="str">
        <f t="shared" si="0"/>
        <v>[0,7,10.5,14,17.5,21,24.5,28]</v>
      </c>
      <c r="D34" s="16"/>
      <c r="E34" s="2">
        <v>7</v>
      </c>
      <c r="F34" s="2">
        <v>10.5</v>
      </c>
      <c r="G34" s="2">
        <v>14</v>
      </c>
      <c r="H34" s="2">
        <v>17.5</v>
      </c>
      <c r="I34" s="2">
        <v>21</v>
      </c>
      <c r="J34" s="2">
        <v>24.5</v>
      </c>
      <c r="K34" s="2">
        <v>28</v>
      </c>
    </row>
    <row r="35" spans="1:11" ht="16.5" customHeight="1">
      <c r="A35" s="2">
        <v>34</v>
      </c>
      <c r="B35" s="2">
        <v>34</v>
      </c>
      <c r="C35" s="3" t="str">
        <f t="shared" si="0"/>
        <v>[0,7,10.5,14,17.5,21,24.5,28]</v>
      </c>
      <c r="D35" s="16"/>
      <c r="E35" s="2">
        <v>7</v>
      </c>
      <c r="F35" s="2">
        <v>10.5</v>
      </c>
      <c r="G35" s="2">
        <v>14</v>
      </c>
      <c r="H35" s="2">
        <v>17.5</v>
      </c>
      <c r="I35" s="2">
        <v>21</v>
      </c>
      <c r="J35" s="2">
        <v>24.5</v>
      </c>
      <c r="K35" s="2">
        <v>28</v>
      </c>
    </row>
    <row r="36" spans="1:11" ht="16.5" customHeight="1">
      <c r="A36" s="9">
        <v>35</v>
      </c>
      <c r="B36" s="2">
        <v>35</v>
      </c>
      <c r="C36" s="3" t="str">
        <f t="shared" si="0"/>
        <v>[0,7,10.5,14,17.5,21,24.5,28]</v>
      </c>
      <c r="D36" s="16"/>
      <c r="E36" s="2">
        <v>7</v>
      </c>
      <c r="F36" s="2">
        <v>10.5</v>
      </c>
      <c r="G36" s="2">
        <v>14</v>
      </c>
      <c r="H36" s="2">
        <v>17.5</v>
      </c>
      <c r="I36" s="2">
        <v>21</v>
      </c>
      <c r="J36" s="2">
        <v>24.5</v>
      </c>
      <c r="K36" s="2">
        <v>28</v>
      </c>
    </row>
    <row r="37" spans="1:11">
      <c r="A37" s="3"/>
      <c r="B37" s="3"/>
      <c r="C37" s="23"/>
    </row>
    <row r="38" spans="1:11">
      <c r="H38" s="2"/>
      <c r="I38" s="2"/>
      <c r="J38" s="24"/>
    </row>
  </sheetData>
  <phoneticPr fontId="1" type="noConversion"/>
  <pageMargins left="0.7" right="0.7" top="0.75" bottom="0.75" header="0.3" footer="0.3"/>
  <pageSetup paperSize="9" orientation="portrait" horizont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>
      <selection activeCell="C5" sqref="C5"/>
    </sheetView>
  </sheetViews>
  <sheetFormatPr defaultRowHeight="17.399999999999999"/>
  <cols>
    <col min="1" max="1" width="3.19921875" bestFit="1" customWidth="1"/>
    <col min="2" max="2" width="9.69921875" bestFit="1" customWidth="1"/>
    <col min="3" max="3" width="24.19921875" bestFit="1" customWidth="1"/>
    <col min="4" max="4" width="8.19921875" customWidth="1"/>
    <col min="5" max="11" width="6.69921875" bestFit="1" customWidth="1"/>
  </cols>
  <sheetData>
    <row r="1" spans="1:11" ht="17.55" customHeight="1" thickBot="1">
      <c r="A1" s="1" t="s">
        <v>0</v>
      </c>
      <c r="B1" s="1" t="s">
        <v>26</v>
      </c>
      <c r="C1" s="1" t="s">
        <v>27</v>
      </c>
      <c r="D1" s="1"/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ht="16.5" customHeight="1">
      <c r="A2" s="2">
        <v>1</v>
      </c>
      <c r="B2" s="2">
        <v>1</v>
      </c>
      <c r="C2" s="3" t="str">
        <f t="shared" ref="C2:C36" si="0">"[0," &amp; $E2 &amp; "," &amp;$F2 &amp; "," &amp;$G2 &amp; "," &amp; $H2 &amp; "," &amp;$I2&amp; "," &amp;$J2 &amp; "," &amp;$K2&amp; "]"</f>
        <v>[0,1,1.5,2,2.5,3,3.5,4]</v>
      </c>
      <c r="D2" s="16"/>
      <c r="E2" s="2">
        <v>1</v>
      </c>
      <c r="F2" s="2">
        <v>1.5</v>
      </c>
      <c r="G2" s="2">
        <v>2</v>
      </c>
      <c r="H2" s="2">
        <v>2.5</v>
      </c>
      <c r="I2" s="2">
        <v>3</v>
      </c>
      <c r="J2" s="2">
        <v>3.5</v>
      </c>
      <c r="K2" s="2">
        <v>4</v>
      </c>
    </row>
    <row r="3" spans="1:11" ht="16.5" customHeight="1">
      <c r="A3" s="2">
        <v>2</v>
      </c>
      <c r="B3" s="2">
        <v>2</v>
      </c>
      <c r="C3" s="3" t="str">
        <f t="shared" si="0"/>
        <v>[0,1,1.5,2,2.5,3,3.5,4]</v>
      </c>
      <c r="D3" s="16"/>
      <c r="E3" s="2">
        <v>1</v>
      </c>
      <c r="F3" s="2">
        <v>1.5</v>
      </c>
      <c r="G3" s="2">
        <v>2</v>
      </c>
      <c r="H3" s="2">
        <v>2.5</v>
      </c>
      <c r="I3" s="2">
        <v>3</v>
      </c>
      <c r="J3" s="2">
        <v>3.5</v>
      </c>
      <c r="K3" s="2">
        <v>4</v>
      </c>
    </row>
    <row r="4" spans="1:11" ht="16.5" customHeight="1">
      <c r="A4" s="2">
        <v>3</v>
      </c>
      <c r="B4" s="2">
        <v>3</v>
      </c>
      <c r="C4" s="3" t="str">
        <f t="shared" si="0"/>
        <v>[0,1,1.5,2,2.5,3,3.5,4]</v>
      </c>
      <c r="D4" s="16"/>
      <c r="E4" s="2">
        <v>1</v>
      </c>
      <c r="F4" s="2">
        <v>1.5</v>
      </c>
      <c r="G4" s="2">
        <v>2</v>
      </c>
      <c r="H4" s="2">
        <v>2.5</v>
      </c>
      <c r="I4" s="2">
        <v>3</v>
      </c>
      <c r="J4" s="2">
        <v>3.5</v>
      </c>
      <c r="K4" s="2">
        <v>4</v>
      </c>
    </row>
    <row r="5" spans="1:11" ht="16.5" customHeight="1">
      <c r="A5" s="2">
        <v>4</v>
      </c>
      <c r="B5" s="2">
        <v>4</v>
      </c>
      <c r="C5" s="3" t="str">
        <f t="shared" si="0"/>
        <v>[0,1,1.5,2,2.5,3,3.5,4]</v>
      </c>
      <c r="D5" s="16"/>
      <c r="E5" s="2">
        <v>1</v>
      </c>
      <c r="F5" s="2">
        <v>1.5</v>
      </c>
      <c r="G5" s="2">
        <v>2</v>
      </c>
      <c r="H5" s="2">
        <v>2.5</v>
      </c>
      <c r="I5" s="2">
        <v>3</v>
      </c>
      <c r="J5" s="2">
        <v>3.5</v>
      </c>
      <c r="K5" s="2">
        <v>4</v>
      </c>
    </row>
    <row r="6" spans="1:11" ht="16.5" customHeight="1">
      <c r="A6" s="4">
        <v>5</v>
      </c>
      <c r="B6" s="2">
        <v>5</v>
      </c>
      <c r="C6" s="3" t="str">
        <f t="shared" si="0"/>
        <v>[0,1,1.5,2,2.5,3,3.5,4]</v>
      </c>
      <c r="D6" s="16"/>
      <c r="E6" s="2">
        <v>1</v>
      </c>
      <c r="F6" s="2">
        <v>1.5</v>
      </c>
      <c r="G6" s="2">
        <v>2</v>
      </c>
      <c r="H6" s="2">
        <v>2.5</v>
      </c>
      <c r="I6" s="2">
        <v>3</v>
      </c>
      <c r="J6" s="2">
        <v>3.5</v>
      </c>
      <c r="K6" s="2">
        <v>4</v>
      </c>
    </row>
    <row r="7" spans="1:11" ht="16.5" customHeight="1">
      <c r="A7" s="2">
        <v>6</v>
      </c>
      <c r="B7" s="2">
        <v>6</v>
      </c>
      <c r="C7" s="3" t="str">
        <f t="shared" si="0"/>
        <v>[0,2,3,4,5,6,7,8]</v>
      </c>
      <c r="D7" s="16"/>
      <c r="E7" s="2">
        <v>2</v>
      </c>
      <c r="F7" s="2">
        <v>3</v>
      </c>
      <c r="G7" s="2">
        <v>4</v>
      </c>
      <c r="H7" s="2">
        <v>5</v>
      </c>
      <c r="I7" s="2">
        <v>6.0000000000000009</v>
      </c>
      <c r="J7" s="2">
        <v>7.0000000000000009</v>
      </c>
      <c r="K7" s="2">
        <v>8</v>
      </c>
    </row>
    <row r="8" spans="1:11" ht="16.5" customHeight="1">
      <c r="A8" s="2">
        <v>7</v>
      </c>
      <c r="B8" s="2">
        <v>7</v>
      </c>
      <c r="C8" s="3" t="str">
        <f t="shared" si="0"/>
        <v>[0,2,3,4,5,6,7,8]</v>
      </c>
      <c r="D8" s="16"/>
      <c r="E8" s="2">
        <v>2</v>
      </c>
      <c r="F8" s="2">
        <v>3</v>
      </c>
      <c r="G8" s="2">
        <v>4</v>
      </c>
      <c r="H8" s="2">
        <v>5</v>
      </c>
      <c r="I8" s="2">
        <v>6.0000000000000009</v>
      </c>
      <c r="J8" s="2">
        <v>7.0000000000000009</v>
      </c>
      <c r="K8" s="2">
        <v>8</v>
      </c>
    </row>
    <row r="9" spans="1:11" ht="16.5" customHeight="1">
      <c r="A9" s="2">
        <v>8</v>
      </c>
      <c r="B9" s="2">
        <v>8</v>
      </c>
      <c r="C9" s="3" t="str">
        <f t="shared" si="0"/>
        <v>[0,2,3,4,5,6,7,8]</v>
      </c>
      <c r="D9" s="16"/>
      <c r="E9" s="2">
        <v>2</v>
      </c>
      <c r="F9" s="2">
        <v>3</v>
      </c>
      <c r="G9" s="2">
        <v>4</v>
      </c>
      <c r="H9" s="2">
        <v>5</v>
      </c>
      <c r="I9" s="2">
        <v>6.0000000000000009</v>
      </c>
      <c r="J9" s="2">
        <v>7.0000000000000009</v>
      </c>
      <c r="K9" s="2">
        <v>8</v>
      </c>
    </row>
    <row r="10" spans="1:11" ht="16.5" customHeight="1">
      <c r="A10" s="2">
        <v>9</v>
      </c>
      <c r="B10" s="2">
        <v>9</v>
      </c>
      <c r="C10" s="3" t="str">
        <f t="shared" si="0"/>
        <v>[0,2,3,4,5,6,7,8]</v>
      </c>
      <c r="D10" s="16"/>
      <c r="E10" s="2">
        <v>2</v>
      </c>
      <c r="F10" s="2">
        <v>3</v>
      </c>
      <c r="G10" s="2">
        <v>4</v>
      </c>
      <c r="H10" s="2">
        <v>5</v>
      </c>
      <c r="I10" s="2">
        <v>6.0000000000000009</v>
      </c>
      <c r="J10" s="2">
        <v>7.0000000000000009</v>
      </c>
      <c r="K10" s="2">
        <v>8</v>
      </c>
    </row>
    <row r="11" spans="1:11" ht="16.5" customHeight="1">
      <c r="A11" s="5">
        <v>10</v>
      </c>
      <c r="B11" s="2">
        <v>10</v>
      </c>
      <c r="C11" s="3" t="str">
        <f t="shared" si="0"/>
        <v>[0,2,3,4,5,6,7,8]</v>
      </c>
      <c r="D11" s="16"/>
      <c r="E11" s="2">
        <v>2</v>
      </c>
      <c r="F11" s="2">
        <v>3</v>
      </c>
      <c r="G11" s="2">
        <v>4</v>
      </c>
      <c r="H11" s="2">
        <v>5</v>
      </c>
      <c r="I11" s="2">
        <v>6.0000000000000009</v>
      </c>
      <c r="J11" s="2">
        <v>7.0000000000000009</v>
      </c>
      <c r="K11" s="2">
        <v>8</v>
      </c>
    </row>
    <row r="12" spans="1:11" ht="16.5" customHeight="1">
      <c r="A12" s="2">
        <v>11</v>
      </c>
      <c r="B12" s="2">
        <v>11</v>
      </c>
      <c r="C12" s="3" t="str">
        <f t="shared" si="0"/>
        <v>[0,3,4.5,6,7.5,9,10.5,12]</v>
      </c>
      <c r="D12" s="16"/>
      <c r="E12" s="2">
        <v>3</v>
      </c>
      <c r="F12" s="2">
        <v>4.5</v>
      </c>
      <c r="G12" s="2">
        <v>6</v>
      </c>
      <c r="H12" s="2">
        <v>7.5</v>
      </c>
      <c r="I12" s="2">
        <v>9</v>
      </c>
      <c r="J12" s="2">
        <v>10.5</v>
      </c>
      <c r="K12" s="2">
        <v>12</v>
      </c>
    </row>
    <row r="13" spans="1:11" ht="16.5" customHeight="1">
      <c r="A13" s="2">
        <v>12</v>
      </c>
      <c r="B13" s="2">
        <v>12</v>
      </c>
      <c r="C13" s="3" t="str">
        <f t="shared" si="0"/>
        <v>[0,3,4.5,6,7.5,9,10.5,12]</v>
      </c>
      <c r="D13" s="16"/>
      <c r="E13" s="2">
        <v>3</v>
      </c>
      <c r="F13" s="2">
        <v>4.5</v>
      </c>
      <c r="G13" s="2">
        <v>6</v>
      </c>
      <c r="H13" s="2">
        <v>7.5</v>
      </c>
      <c r="I13" s="2">
        <v>9</v>
      </c>
      <c r="J13" s="2">
        <v>10.5</v>
      </c>
      <c r="K13" s="2">
        <v>12</v>
      </c>
    </row>
    <row r="14" spans="1:11" ht="16.5" customHeight="1">
      <c r="A14" s="2">
        <v>13</v>
      </c>
      <c r="B14" s="2">
        <v>13</v>
      </c>
      <c r="C14" s="3" t="str">
        <f t="shared" si="0"/>
        <v>[0,3,4.5,6,7.5,9,10.5,12]</v>
      </c>
      <c r="D14" s="16"/>
      <c r="E14" s="2">
        <v>3</v>
      </c>
      <c r="F14" s="2">
        <v>4.5</v>
      </c>
      <c r="G14" s="2">
        <v>6</v>
      </c>
      <c r="H14" s="2">
        <v>7.5</v>
      </c>
      <c r="I14" s="2">
        <v>9</v>
      </c>
      <c r="J14" s="2">
        <v>10.5</v>
      </c>
      <c r="K14" s="2">
        <v>12</v>
      </c>
    </row>
    <row r="15" spans="1:11" ht="16.5" customHeight="1">
      <c r="A15" s="2">
        <v>14</v>
      </c>
      <c r="B15" s="2">
        <v>14</v>
      </c>
      <c r="C15" s="3" t="str">
        <f t="shared" si="0"/>
        <v>[0,3,4.5,6,7.5,9,10.5,12]</v>
      </c>
      <c r="D15" s="16"/>
      <c r="E15" s="2">
        <v>3</v>
      </c>
      <c r="F15" s="2">
        <v>4.5</v>
      </c>
      <c r="G15" s="2">
        <v>6</v>
      </c>
      <c r="H15" s="2">
        <v>7.5</v>
      </c>
      <c r="I15" s="2">
        <v>9</v>
      </c>
      <c r="J15" s="2">
        <v>10.5</v>
      </c>
      <c r="K15" s="2">
        <v>12</v>
      </c>
    </row>
    <row r="16" spans="1:11" ht="16.5" customHeight="1">
      <c r="A16" s="6">
        <v>15</v>
      </c>
      <c r="B16" s="2">
        <v>15</v>
      </c>
      <c r="C16" s="3" t="str">
        <f t="shared" si="0"/>
        <v>[0,3,4.5,6,7.5,9,10.5,12]</v>
      </c>
      <c r="D16" s="16"/>
      <c r="E16" s="2">
        <v>3</v>
      </c>
      <c r="F16" s="2">
        <v>4.5</v>
      </c>
      <c r="G16" s="2">
        <v>6</v>
      </c>
      <c r="H16" s="2">
        <v>7.5</v>
      </c>
      <c r="I16" s="2">
        <v>9</v>
      </c>
      <c r="J16" s="2">
        <v>10.5</v>
      </c>
      <c r="K16" s="2">
        <v>12</v>
      </c>
    </row>
    <row r="17" spans="1:11" ht="16.5" customHeight="1">
      <c r="A17" s="2">
        <v>16</v>
      </c>
      <c r="B17" s="2">
        <v>16</v>
      </c>
      <c r="C17" s="3" t="str">
        <f t="shared" si="0"/>
        <v>[0,4,6,8,10,12,14,16]</v>
      </c>
      <c r="D17" s="16"/>
      <c r="E17" s="2">
        <v>4</v>
      </c>
      <c r="F17" s="2">
        <v>6.0000000000000009</v>
      </c>
      <c r="G17" s="2">
        <v>8</v>
      </c>
      <c r="H17" s="2">
        <v>10</v>
      </c>
      <c r="I17" s="2">
        <v>12</v>
      </c>
      <c r="J17" s="2">
        <v>14</v>
      </c>
      <c r="K17" s="2">
        <v>16</v>
      </c>
    </row>
    <row r="18" spans="1:11" ht="16.5" customHeight="1">
      <c r="A18" s="2">
        <v>17</v>
      </c>
      <c r="B18" s="2">
        <v>17</v>
      </c>
      <c r="C18" s="3" t="str">
        <f t="shared" si="0"/>
        <v>[0,4,6,8,10,12,14,16]</v>
      </c>
      <c r="D18" s="16"/>
      <c r="E18" s="2">
        <v>4</v>
      </c>
      <c r="F18" s="2">
        <v>6.0000000000000009</v>
      </c>
      <c r="G18" s="2">
        <v>8</v>
      </c>
      <c r="H18" s="2">
        <v>10</v>
      </c>
      <c r="I18" s="2">
        <v>12</v>
      </c>
      <c r="J18" s="2">
        <v>14</v>
      </c>
      <c r="K18" s="2">
        <v>16</v>
      </c>
    </row>
    <row r="19" spans="1:11" ht="16.5" customHeight="1">
      <c r="A19" s="2">
        <v>18</v>
      </c>
      <c r="B19" s="2">
        <v>18</v>
      </c>
      <c r="C19" s="3" t="str">
        <f t="shared" si="0"/>
        <v>[0,4,6,8,10,12,14,16]</v>
      </c>
      <c r="D19" s="16"/>
      <c r="E19" s="2">
        <v>4</v>
      </c>
      <c r="F19" s="2">
        <v>6.0000000000000009</v>
      </c>
      <c r="G19" s="2">
        <v>8</v>
      </c>
      <c r="H19" s="2">
        <v>10</v>
      </c>
      <c r="I19" s="2">
        <v>12</v>
      </c>
      <c r="J19" s="2">
        <v>14</v>
      </c>
      <c r="K19" s="2">
        <v>16</v>
      </c>
    </row>
    <row r="20" spans="1:11" ht="16.5" customHeight="1">
      <c r="A20" s="2">
        <v>19</v>
      </c>
      <c r="B20" s="2">
        <v>19</v>
      </c>
      <c r="C20" s="3" t="str">
        <f t="shared" si="0"/>
        <v>[0,4,6,8,10,12,14,16]</v>
      </c>
      <c r="D20" s="16"/>
      <c r="E20" s="2">
        <v>4</v>
      </c>
      <c r="F20" s="2">
        <v>6.0000000000000009</v>
      </c>
      <c r="G20" s="2">
        <v>8</v>
      </c>
      <c r="H20" s="2">
        <v>10</v>
      </c>
      <c r="I20" s="2">
        <v>12</v>
      </c>
      <c r="J20" s="2">
        <v>14</v>
      </c>
      <c r="K20" s="2">
        <v>16</v>
      </c>
    </row>
    <row r="21" spans="1:11" ht="16.5" customHeight="1">
      <c r="A21" s="7">
        <v>20</v>
      </c>
      <c r="B21" s="2">
        <v>20</v>
      </c>
      <c r="C21" s="3" t="str">
        <f t="shared" si="0"/>
        <v>[0,4,6,8,10,12,14,16]</v>
      </c>
      <c r="D21" s="16"/>
      <c r="E21" s="2">
        <v>4</v>
      </c>
      <c r="F21" s="2">
        <v>6.0000000000000009</v>
      </c>
      <c r="G21" s="2">
        <v>8</v>
      </c>
      <c r="H21" s="2">
        <v>10</v>
      </c>
      <c r="I21" s="2">
        <v>12</v>
      </c>
      <c r="J21" s="2">
        <v>14</v>
      </c>
      <c r="K21" s="2">
        <v>16</v>
      </c>
    </row>
    <row r="22" spans="1:11" ht="16.5" customHeight="1">
      <c r="A22" s="2">
        <v>21</v>
      </c>
      <c r="B22" s="2">
        <v>21</v>
      </c>
      <c r="C22" s="3" t="str">
        <f t="shared" si="0"/>
        <v>[0,5,7.5,10,12.5,15,17.5,20]</v>
      </c>
      <c r="D22" s="16"/>
      <c r="E22" s="2">
        <v>5</v>
      </c>
      <c r="F22" s="2">
        <v>7.5</v>
      </c>
      <c r="G22" s="2">
        <v>10</v>
      </c>
      <c r="H22" s="2">
        <v>12.5</v>
      </c>
      <c r="I22" s="2">
        <v>15</v>
      </c>
      <c r="J22" s="2">
        <v>17.5</v>
      </c>
      <c r="K22" s="2">
        <v>20</v>
      </c>
    </row>
    <row r="23" spans="1:11" ht="16.5" customHeight="1">
      <c r="A23" s="2">
        <v>22</v>
      </c>
      <c r="B23" s="2">
        <v>22</v>
      </c>
      <c r="C23" s="3" t="str">
        <f t="shared" si="0"/>
        <v>[0,5,7.5,10,12.5,15,17.5,20]</v>
      </c>
      <c r="D23" s="16"/>
      <c r="E23" s="2">
        <v>5</v>
      </c>
      <c r="F23" s="2">
        <v>7.5</v>
      </c>
      <c r="G23" s="2">
        <v>10</v>
      </c>
      <c r="H23" s="2">
        <v>12.5</v>
      </c>
      <c r="I23" s="2">
        <v>15</v>
      </c>
      <c r="J23" s="2">
        <v>17.5</v>
      </c>
      <c r="K23" s="2">
        <v>20</v>
      </c>
    </row>
    <row r="24" spans="1:11" ht="16.5" customHeight="1">
      <c r="A24" s="2">
        <v>23</v>
      </c>
      <c r="B24" s="2">
        <v>23</v>
      </c>
      <c r="C24" s="3" t="str">
        <f t="shared" si="0"/>
        <v>[0,5,7.5,10,12.5,15,17.5,20]</v>
      </c>
      <c r="D24" s="16"/>
      <c r="E24" s="2">
        <v>5</v>
      </c>
      <c r="F24" s="2">
        <v>7.5</v>
      </c>
      <c r="G24" s="2">
        <v>10</v>
      </c>
      <c r="H24" s="2">
        <v>12.5</v>
      </c>
      <c r="I24" s="2">
        <v>15</v>
      </c>
      <c r="J24" s="2">
        <v>17.5</v>
      </c>
      <c r="K24" s="2">
        <v>20</v>
      </c>
    </row>
    <row r="25" spans="1:11" ht="16.5" customHeight="1">
      <c r="A25" s="2">
        <v>24</v>
      </c>
      <c r="B25" s="2">
        <v>24</v>
      </c>
      <c r="C25" s="3" t="str">
        <f t="shared" si="0"/>
        <v>[0,5,7.5,10,12.5,15,17.5,20]</v>
      </c>
      <c r="D25" s="16"/>
      <c r="E25" s="2">
        <v>5</v>
      </c>
      <c r="F25" s="2">
        <v>7.5</v>
      </c>
      <c r="G25" s="2">
        <v>10</v>
      </c>
      <c r="H25" s="2">
        <v>12.5</v>
      </c>
      <c r="I25" s="2">
        <v>15</v>
      </c>
      <c r="J25" s="2">
        <v>17.5</v>
      </c>
      <c r="K25" s="2">
        <v>20</v>
      </c>
    </row>
    <row r="26" spans="1:11" ht="16.5" customHeight="1">
      <c r="A26" s="8">
        <v>25</v>
      </c>
      <c r="B26" s="2">
        <v>25</v>
      </c>
      <c r="C26" s="3" t="str">
        <f t="shared" si="0"/>
        <v>[0,5,7.5,10,12.5,15,17.5,20]</v>
      </c>
      <c r="D26" s="16"/>
      <c r="E26" s="2">
        <v>5</v>
      </c>
      <c r="F26" s="2">
        <v>7.5</v>
      </c>
      <c r="G26" s="2">
        <v>10</v>
      </c>
      <c r="H26" s="2">
        <v>12.5</v>
      </c>
      <c r="I26" s="2">
        <v>15</v>
      </c>
      <c r="J26" s="2">
        <v>17.5</v>
      </c>
      <c r="K26" s="2">
        <v>20</v>
      </c>
    </row>
    <row r="27" spans="1:11" ht="16.5" customHeight="1">
      <c r="A27" s="2">
        <v>26</v>
      </c>
      <c r="B27" s="2">
        <v>26</v>
      </c>
      <c r="C27" s="3" t="str">
        <f t="shared" si="0"/>
        <v>[0,6,9,12,15,18,21,24]</v>
      </c>
      <c r="D27" s="16"/>
      <c r="E27" s="2">
        <v>6</v>
      </c>
      <c r="F27" s="2">
        <v>9</v>
      </c>
      <c r="G27" s="2">
        <v>12</v>
      </c>
      <c r="H27" s="2">
        <v>15</v>
      </c>
      <c r="I27" s="2">
        <v>18</v>
      </c>
      <c r="J27" s="2">
        <v>21</v>
      </c>
      <c r="K27" s="2">
        <v>24</v>
      </c>
    </row>
    <row r="28" spans="1:11" ht="16.5" customHeight="1">
      <c r="A28" s="2">
        <v>27</v>
      </c>
      <c r="B28" s="2">
        <v>27</v>
      </c>
      <c r="C28" s="3" t="str">
        <f t="shared" si="0"/>
        <v>[0,6,9,12,15,18,21,24]</v>
      </c>
      <c r="D28" s="16"/>
      <c r="E28" s="2">
        <v>6</v>
      </c>
      <c r="F28" s="2">
        <v>9</v>
      </c>
      <c r="G28" s="2">
        <v>12</v>
      </c>
      <c r="H28" s="2">
        <v>15</v>
      </c>
      <c r="I28" s="2">
        <v>18</v>
      </c>
      <c r="J28" s="2">
        <v>21</v>
      </c>
      <c r="K28" s="2">
        <v>24</v>
      </c>
    </row>
    <row r="29" spans="1:11" ht="16.5" customHeight="1">
      <c r="A29" s="2">
        <v>28</v>
      </c>
      <c r="B29" s="2">
        <v>28</v>
      </c>
      <c r="C29" s="3" t="str">
        <f t="shared" si="0"/>
        <v>[0,6,9,12,15,18,21,24]</v>
      </c>
      <c r="D29" s="16"/>
      <c r="E29" s="2">
        <v>6</v>
      </c>
      <c r="F29" s="2">
        <v>9</v>
      </c>
      <c r="G29" s="2">
        <v>12</v>
      </c>
      <c r="H29" s="2">
        <v>15</v>
      </c>
      <c r="I29" s="2">
        <v>18</v>
      </c>
      <c r="J29" s="2">
        <v>21</v>
      </c>
      <c r="K29" s="2">
        <v>24</v>
      </c>
    </row>
    <row r="30" spans="1:11" ht="16.5" customHeight="1">
      <c r="A30" s="2">
        <v>29</v>
      </c>
      <c r="B30" s="2">
        <v>29</v>
      </c>
      <c r="C30" s="3" t="str">
        <f t="shared" si="0"/>
        <v>[0,6,9,12,15,18,21,24]</v>
      </c>
      <c r="D30" s="16"/>
      <c r="E30" s="2">
        <v>6</v>
      </c>
      <c r="F30" s="2">
        <v>9</v>
      </c>
      <c r="G30" s="2">
        <v>12</v>
      </c>
      <c r="H30" s="2">
        <v>15</v>
      </c>
      <c r="I30" s="2">
        <v>18</v>
      </c>
      <c r="J30" s="2">
        <v>21</v>
      </c>
      <c r="K30" s="2">
        <v>24</v>
      </c>
    </row>
    <row r="31" spans="1:11" ht="16.5" customHeight="1">
      <c r="A31" s="8">
        <v>30</v>
      </c>
      <c r="B31" s="2">
        <v>30</v>
      </c>
      <c r="C31" s="3" t="str">
        <f t="shared" si="0"/>
        <v>[0,6,9,12,15,18,21,24]</v>
      </c>
      <c r="D31" s="16"/>
      <c r="E31" s="2">
        <v>6</v>
      </c>
      <c r="F31" s="2">
        <v>9</v>
      </c>
      <c r="G31" s="2">
        <v>12</v>
      </c>
      <c r="H31" s="2">
        <v>15</v>
      </c>
      <c r="I31" s="2">
        <v>18</v>
      </c>
      <c r="J31" s="2">
        <v>21</v>
      </c>
      <c r="K31" s="2">
        <v>24</v>
      </c>
    </row>
    <row r="32" spans="1:11" ht="16.5" customHeight="1">
      <c r="A32" s="2">
        <v>31</v>
      </c>
      <c r="B32" s="2">
        <v>31</v>
      </c>
      <c r="C32" s="3" t="str">
        <f t="shared" si="0"/>
        <v>[0,7,10.5,14,17.5,21,24.5,28]</v>
      </c>
      <c r="D32" s="16"/>
      <c r="E32" s="2">
        <v>7</v>
      </c>
      <c r="F32" s="2">
        <v>10.5</v>
      </c>
      <c r="G32" s="2">
        <v>14</v>
      </c>
      <c r="H32" s="2">
        <v>17.5</v>
      </c>
      <c r="I32" s="2">
        <v>21</v>
      </c>
      <c r="J32" s="2">
        <v>24.5</v>
      </c>
      <c r="K32" s="2">
        <v>28</v>
      </c>
    </row>
    <row r="33" spans="1:11" ht="16.5" customHeight="1">
      <c r="A33" s="2">
        <v>32</v>
      </c>
      <c r="B33" s="2">
        <v>32</v>
      </c>
      <c r="C33" s="3" t="str">
        <f t="shared" si="0"/>
        <v>[0,7,10.5,14,17.5,21,24.5,28]</v>
      </c>
      <c r="D33" s="16"/>
      <c r="E33" s="2">
        <v>7</v>
      </c>
      <c r="F33" s="2">
        <v>10.5</v>
      </c>
      <c r="G33" s="2">
        <v>14</v>
      </c>
      <c r="H33" s="2">
        <v>17.5</v>
      </c>
      <c r="I33" s="2">
        <v>21</v>
      </c>
      <c r="J33" s="2">
        <v>24.5</v>
      </c>
      <c r="K33" s="2">
        <v>28</v>
      </c>
    </row>
    <row r="34" spans="1:11" ht="16.5" customHeight="1">
      <c r="A34" s="2">
        <v>33</v>
      </c>
      <c r="B34" s="2">
        <v>33</v>
      </c>
      <c r="C34" s="3" t="str">
        <f t="shared" si="0"/>
        <v>[0,7,10.5,14,17.5,21,24.5,28]</v>
      </c>
      <c r="D34" s="16"/>
      <c r="E34" s="2">
        <v>7</v>
      </c>
      <c r="F34" s="2">
        <v>10.5</v>
      </c>
      <c r="G34" s="2">
        <v>14</v>
      </c>
      <c r="H34" s="2">
        <v>17.5</v>
      </c>
      <c r="I34" s="2">
        <v>21</v>
      </c>
      <c r="J34" s="2">
        <v>24.5</v>
      </c>
      <c r="K34" s="2">
        <v>28</v>
      </c>
    </row>
    <row r="35" spans="1:11" ht="16.5" customHeight="1">
      <c r="A35" s="2">
        <v>34</v>
      </c>
      <c r="B35" s="2">
        <v>34</v>
      </c>
      <c r="C35" s="3" t="str">
        <f t="shared" si="0"/>
        <v>[0,7,10.5,14,17.5,21,24.5,28]</v>
      </c>
      <c r="D35" s="16"/>
      <c r="E35" s="2">
        <v>7</v>
      </c>
      <c r="F35" s="2">
        <v>10.5</v>
      </c>
      <c r="G35" s="2">
        <v>14</v>
      </c>
      <c r="H35" s="2">
        <v>17.5</v>
      </c>
      <c r="I35" s="2">
        <v>21</v>
      </c>
      <c r="J35" s="2">
        <v>24.5</v>
      </c>
      <c r="K35" s="2">
        <v>28</v>
      </c>
    </row>
    <row r="36" spans="1:11" ht="16.5" customHeight="1">
      <c r="A36" s="9">
        <v>35</v>
      </c>
      <c r="B36" s="2">
        <v>35</v>
      </c>
      <c r="C36" s="3" t="str">
        <f t="shared" si="0"/>
        <v>[0,7,10.5,14,17.5,21,24.5,28]</v>
      </c>
      <c r="D36" s="16"/>
      <c r="E36" s="2">
        <v>7</v>
      </c>
      <c r="F36" s="2">
        <v>10.5</v>
      </c>
      <c r="G36" s="2">
        <v>14</v>
      </c>
      <c r="H36" s="2">
        <v>17.5</v>
      </c>
      <c r="I36" s="2">
        <v>21</v>
      </c>
      <c r="J36" s="2">
        <v>24.5</v>
      </c>
      <c r="K36" s="2">
        <v>28</v>
      </c>
    </row>
    <row r="37" spans="1:11">
      <c r="A37" s="3"/>
      <c r="B37" s="3"/>
      <c r="C37" s="23"/>
    </row>
    <row r="38" spans="1:11">
      <c r="H38" s="2"/>
      <c r="I38" s="2"/>
      <c r="J38" s="24"/>
    </row>
  </sheetData>
  <phoneticPr fontId="1" type="noConversion"/>
  <pageMargins left="0.7" right="0.7" top="0.75" bottom="0.75" header="0.3" footer="0.3"/>
  <pageSetup paperSize="9" orientation="portrait" horizont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"/>
  <sheetViews>
    <sheetView tabSelected="1" workbookViewId="0">
      <selection activeCell="B3" sqref="B3"/>
    </sheetView>
  </sheetViews>
  <sheetFormatPr defaultRowHeight="17.399999999999999"/>
  <cols>
    <col min="1" max="1" width="3.19921875" bestFit="1" customWidth="1"/>
    <col min="2" max="2" width="15.3984375" bestFit="1" customWidth="1"/>
    <col min="3" max="3" width="15.69921875" bestFit="1" customWidth="1"/>
    <col min="5" max="5" width="16.3984375" bestFit="1" customWidth="1"/>
    <col min="6" max="6" width="17.19921875" bestFit="1" customWidth="1"/>
    <col min="7" max="11" width="16.3984375" bestFit="1" customWidth="1"/>
    <col min="12" max="18" width="19.296875" bestFit="1" customWidth="1"/>
  </cols>
  <sheetData>
    <row r="1" spans="1:18" ht="17.55" customHeight="1" thickBo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6.5" customHeight="1">
      <c r="A2" s="2">
        <v>1</v>
      </c>
      <c r="B2" s="23" t="str">
        <f t="shared" ref="B2:B15" si="0">"[" &amp; $E2 &amp; "," &amp; $F2 &amp; "," &amp; $G2 &amp; "," &amp; $H2 &amp; "," &amp; $I2 &amp; "," &amp; $J2 &amp; "," &amp; $K2 &amp;"]"</f>
        <v>[1,2,3,4,5,6,7]</v>
      </c>
      <c r="C2" s="23" t="str">
        <f t="shared" ref="C2:C15" si="1">"[" &amp; $L2 &amp; "," &amp; $M2 &amp; "," &amp; $N2 &amp; "," &amp; $O2 &amp; "," &amp; $P2 &amp; "," &amp; $Q2 &amp; "," &amp; $R2 &amp;"]"</f>
        <v>[60,120,240,480,960,1920,3840]</v>
      </c>
      <c r="D2" s="2"/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60</v>
      </c>
      <c r="M2" s="2">
        <f t="shared" ref="M2:R15" si="2">L2*2</f>
        <v>120</v>
      </c>
      <c r="N2" s="2">
        <f t="shared" si="2"/>
        <v>240</v>
      </c>
      <c r="O2" s="2">
        <f t="shared" si="2"/>
        <v>480</v>
      </c>
      <c r="P2" s="2">
        <f t="shared" si="2"/>
        <v>960</v>
      </c>
      <c r="Q2" s="2">
        <f t="shared" si="2"/>
        <v>1920</v>
      </c>
      <c r="R2" s="2">
        <f t="shared" si="2"/>
        <v>3840</v>
      </c>
    </row>
    <row r="3" spans="1:18" ht="16.5" customHeight="1">
      <c r="A3" s="2">
        <v>2</v>
      </c>
      <c r="B3" s="23" t="str">
        <f t="shared" si="0"/>
        <v>[1,2,3,4,5,6,7]</v>
      </c>
      <c r="C3" s="23" t="str">
        <f t="shared" si="1"/>
        <v>[80,160,320,640,1280,2560,5120]</v>
      </c>
      <c r="D3" s="2"/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80</v>
      </c>
      <c r="M3" s="2">
        <f t="shared" si="2"/>
        <v>160</v>
      </c>
      <c r="N3" s="2">
        <f t="shared" si="2"/>
        <v>320</v>
      </c>
      <c r="O3" s="2">
        <f t="shared" si="2"/>
        <v>640</v>
      </c>
      <c r="P3" s="2">
        <f t="shared" si="2"/>
        <v>1280</v>
      </c>
      <c r="Q3" s="2">
        <f t="shared" si="2"/>
        <v>2560</v>
      </c>
      <c r="R3" s="2">
        <f t="shared" si="2"/>
        <v>5120</v>
      </c>
    </row>
    <row r="4" spans="1:18" ht="16.5" customHeight="1">
      <c r="A4" s="2">
        <v>3</v>
      </c>
      <c r="B4" s="23" t="str">
        <f t="shared" si="0"/>
        <v>[1,2,3,4,5,6,7]</v>
      </c>
      <c r="C4" s="23" t="str">
        <f t="shared" si="1"/>
        <v>[100,200,400,800,1600,3200,6400]</v>
      </c>
      <c r="D4" s="2"/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100</v>
      </c>
      <c r="M4" s="2">
        <f t="shared" si="2"/>
        <v>200</v>
      </c>
      <c r="N4" s="2">
        <f t="shared" si="2"/>
        <v>400</v>
      </c>
      <c r="O4" s="2">
        <f t="shared" si="2"/>
        <v>800</v>
      </c>
      <c r="P4" s="2">
        <f t="shared" si="2"/>
        <v>1600</v>
      </c>
      <c r="Q4" s="2">
        <f t="shared" si="2"/>
        <v>3200</v>
      </c>
      <c r="R4" s="2">
        <f t="shared" si="2"/>
        <v>6400</v>
      </c>
    </row>
    <row r="5" spans="1:18" ht="16.5" customHeight="1">
      <c r="A5" s="2">
        <v>4</v>
      </c>
      <c r="B5" s="23" t="str">
        <f t="shared" si="0"/>
        <v>[1,2,3,4,5,6,7]</v>
      </c>
      <c r="C5" s="23" t="str">
        <f t="shared" si="1"/>
        <v>[120,240,480,960,1920,3840,7680]</v>
      </c>
      <c r="D5" s="2"/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120</v>
      </c>
      <c r="M5" s="2">
        <f t="shared" si="2"/>
        <v>240</v>
      </c>
      <c r="N5" s="2">
        <f t="shared" si="2"/>
        <v>480</v>
      </c>
      <c r="O5" s="2">
        <f t="shared" si="2"/>
        <v>960</v>
      </c>
      <c r="P5" s="2">
        <f t="shared" si="2"/>
        <v>1920</v>
      </c>
      <c r="Q5" s="2">
        <f t="shared" si="2"/>
        <v>3840</v>
      </c>
      <c r="R5" s="2">
        <f t="shared" si="2"/>
        <v>7680</v>
      </c>
    </row>
    <row r="6" spans="1:18" ht="16.5" customHeight="1">
      <c r="A6" s="2">
        <v>5</v>
      </c>
      <c r="B6" s="23" t="str">
        <f t="shared" si="0"/>
        <v>[1,2,3,4,5,6,7]</v>
      </c>
      <c r="C6" s="23" t="str">
        <f t="shared" si="1"/>
        <v>[140,280,560,1120,2240,4480,8960]</v>
      </c>
      <c r="D6" s="2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140</v>
      </c>
      <c r="M6" s="2">
        <f t="shared" si="2"/>
        <v>280</v>
      </c>
      <c r="N6" s="2">
        <f t="shared" si="2"/>
        <v>560</v>
      </c>
      <c r="O6" s="2">
        <f t="shared" si="2"/>
        <v>1120</v>
      </c>
      <c r="P6" s="2">
        <f t="shared" si="2"/>
        <v>2240</v>
      </c>
      <c r="Q6" s="2">
        <f t="shared" si="2"/>
        <v>4480</v>
      </c>
      <c r="R6" s="2">
        <f t="shared" si="2"/>
        <v>8960</v>
      </c>
    </row>
    <row r="7" spans="1:18" ht="16.5" customHeight="1">
      <c r="A7" s="2">
        <v>6</v>
      </c>
      <c r="B7" s="23" t="str">
        <f t="shared" si="0"/>
        <v>[1,2,3,4,5,6,7]</v>
      </c>
      <c r="C7" s="23" t="str">
        <f t="shared" si="1"/>
        <v>[160,320,640,1280,2560,5120,10240]</v>
      </c>
      <c r="D7" s="2"/>
      <c r="E7" s="2">
        <v>1</v>
      </c>
      <c r="F7" s="2">
        <v>2</v>
      </c>
      <c r="G7" s="2">
        <v>3</v>
      </c>
      <c r="H7" s="2">
        <v>4</v>
      </c>
      <c r="I7" s="2">
        <v>5</v>
      </c>
      <c r="J7" s="2">
        <v>6</v>
      </c>
      <c r="K7" s="2">
        <v>7</v>
      </c>
      <c r="L7" s="2">
        <v>160</v>
      </c>
      <c r="M7" s="2">
        <f t="shared" si="2"/>
        <v>320</v>
      </c>
      <c r="N7" s="2">
        <f t="shared" si="2"/>
        <v>640</v>
      </c>
      <c r="O7" s="2">
        <f t="shared" si="2"/>
        <v>1280</v>
      </c>
      <c r="P7" s="2">
        <f t="shared" si="2"/>
        <v>2560</v>
      </c>
      <c r="Q7" s="2">
        <f t="shared" si="2"/>
        <v>5120</v>
      </c>
      <c r="R7" s="2">
        <f t="shared" si="2"/>
        <v>10240</v>
      </c>
    </row>
    <row r="8" spans="1:18" ht="16.5" customHeight="1">
      <c r="A8" s="2">
        <v>7</v>
      </c>
      <c r="B8" s="23" t="str">
        <f t="shared" si="0"/>
        <v>[1,2,3,4,5,6,7]</v>
      </c>
      <c r="C8" s="23" t="str">
        <f t="shared" si="1"/>
        <v>[180,360,720,1440,2880,5760,11520]</v>
      </c>
      <c r="D8" s="2"/>
      <c r="E8" s="2">
        <v>1</v>
      </c>
      <c r="F8" s="2">
        <v>2</v>
      </c>
      <c r="G8" s="2">
        <v>3</v>
      </c>
      <c r="H8" s="2">
        <v>4</v>
      </c>
      <c r="I8" s="2">
        <v>5</v>
      </c>
      <c r="J8" s="2">
        <v>6</v>
      </c>
      <c r="K8" s="2">
        <v>7</v>
      </c>
      <c r="L8" s="2">
        <v>180</v>
      </c>
      <c r="M8" s="2">
        <f t="shared" si="2"/>
        <v>360</v>
      </c>
      <c r="N8" s="2">
        <f t="shared" si="2"/>
        <v>720</v>
      </c>
      <c r="O8" s="2">
        <f t="shared" si="2"/>
        <v>1440</v>
      </c>
      <c r="P8" s="2">
        <f t="shared" si="2"/>
        <v>2880</v>
      </c>
      <c r="Q8" s="2">
        <f t="shared" si="2"/>
        <v>5760</v>
      </c>
      <c r="R8" s="2">
        <f t="shared" si="2"/>
        <v>11520</v>
      </c>
    </row>
    <row r="9" spans="1:18" ht="16.5" customHeight="1">
      <c r="A9" s="2">
        <v>8</v>
      </c>
      <c r="B9" s="23" t="str">
        <f t="shared" si="0"/>
        <v>[1,2,3,4,5,6,7]</v>
      </c>
      <c r="C9" s="23" t="str">
        <f t="shared" si="1"/>
        <v>[60,120,240,480,960,1920,3840]</v>
      </c>
      <c r="D9" s="2"/>
      <c r="E9" s="2">
        <v>1</v>
      </c>
      <c r="F9" s="2">
        <v>2</v>
      </c>
      <c r="G9" s="2">
        <v>3</v>
      </c>
      <c r="H9" s="2">
        <v>4</v>
      </c>
      <c r="I9" s="2">
        <v>5</v>
      </c>
      <c r="J9" s="2">
        <v>6</v>
      </c>
      <c r="K9" s="2">
        <v>7</v>
      </c>
      <c r="L9" s="2">
        <v>60</v>
      </c>
      <c r="M9" s="2">
        <f t="shared" si="2"/>
        <v>120</v>
      </c>
      <c r="N9" s="2">
        <f t="shared" si="2"/>
        <v>240</v>
      </c>
      <c r="O9" s="2">
        <f t="shared" si="2"/>
        <v>480</v>
      </c>
      <c r="P9" s="2">
        <f t="shared" si="2"/>
        <v>960</v>
      </c>
      <c r="Q9" s="2">
        <f t="shared" si="2"/>
        <v>1920</v>
      </c>
      <c r="R9" s="2">
        <f t="shared" si="2"/>
        <v>3840</v>
      </c>
    </row>
    <row r="10" spans="1:18" ht="16.5" customHeight="1">
      <c r="A10" s="2">
        <v>9</v>
      </c>
      <c r="B10" s="23" t="str">
        <f t="shared" si="0"/>
        <v>[1,2,3,4,5,6,7]</v>
      </c>
      <c r="C10" s="23" t="str">
        <f t="shared" si="1"/>
        <v>[120,240,480,960,1920,3840,7680]</v>
      </c>
      <c r="D10" s="2"/>
      <c r="E10" s="2">
        <v>1</v>
      </c>
      <c r="F10" s="2">
        <v>2</v>
      </c>
      <c r="G10" s="2">
        <v>3</v>
      </c>
      <c r="H10" s="2">
        <v>4</v>
      </c>
      <c r="I10" s="2">
        <v>5</v>
      </c>
      <c r="J10" s="2">
        <v>6</v>
      </c>
      <c r="K10" s="2">
        <v>7</v>
      </c>
      <c r="L10" s="2">
        <v>120</v>
      </c>
      <c r="M10" s="2">
        <f t="shared" si="2"/>
        <v>240</v>
      </c>
      <c r="N10" s="2">
        <f t="shared" si="2"/>
        <v>480</v>
      </c>
      <c r="O10" s="2">
        <f t="shared" si="2"/>
        <v>960</v>
      </c>
      <c r="P10" s="2">
        <f t="shared" si="2"/>
        <v>1920</v>
      </c>
      <c r="Q10" s="2">
        <f t="shared" si="2"/>
        <v>3840</v>
      </c>
      <c r="R10" s="2">
        <f t="shared" si="2"/>
        <v>7680</v>
      </c>
    </row>
    <row r="11" spans="1:18" ht="16.5" customHeight="1">
      <c r="A11" s="2">
        <v>10</v>
      </c>
      <c r="B11" s="23" t="str">
        <f t="shared" si="0"/>
        <v>[1,2,3,4,5,6,7]</v>
      </c>
      <c r="C11" s="23" t="str">
        <f t="shared" si="1"/>
        <v>[180,360,720,1440,2880,5760,11520]</v>
      </c>
      <c r="D11" s="2"/>
      <c r="E11" s="2">
        <v>1</v>
      </c>
      <c r="F11" s="2">
        <v>2</v>
      </c>
      <c r="G11" s="2">
        <v>3</v>
      </c>
      <c r="H11" s="2">
        <v>4</v>
      </c>
      <c r="I11" s="2">
        <v>5</v>
      </c>
      <c r="J11" s="2">
        <v>6</v>
      </c>
      <c r="K11" s="2">
        <v>7</v>
      </c>
      <c r="L11" s="2">
        <v>180</v>
      </c>
      <c r="M11" s="2">
        <f t="shared" si="2"/>
        <v>360</v>
      </c>
      <c r="N11" s="2">
        <f t="shared" si="2"/>
        <v>720</v>
      </c>
      <c r="O11" s="2">
        <f t="shared" si="2"/>
        <v>1440</v>
      </c>
      <c r="P11" s="2">
        <f t="shared" si="2"/>
        <v>2880</v>
      </c>
      <c r="Q11" s="2">
        <f t="shared" si="2"/>
        <v>5760</v>
      </c>
      <c r="R11" s="2">
        <f t="shared" si="2"/>
        <v>11520</v>
      </c>
    </row>
    <row r="12" spans="1:18" ht="16.5" customHeight="1">
      <c r="A12" s="2">
        <v>11</v>
      </c>
      <c r="B12" s="23" t="str">
        <f t="shared" si="0"/>
        <v>[1,2,3,4,5,6,7]</v>
      </c>
      <c r="C12" s="23" t="str">
        <f t="shared" si="1"/>
        <v>[240,480,960,1920,3840,7680,15360]</v>
      </c>
      <c r="D12" s="2"/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240</v>
      </c>
      <c r="M12" s="2">
        <f t="shared" si="2"/>
        <v>480</v>
      </c>
      <c r="N12" s="2">
        <f t="shared" si="2"/>
        <v>960</v>
      </c>
      <c r="O12" s="2">
        <f t="shared" si="2"/>
        <v>1920</v>
      </c>
      <c r="P12" s="2">
        <f t="shared" si="2"/>
        <v>3840</v>
      </c>
      <c r="Q12" s="2">
        <f t="shared" si="2"/>
        <v>7680</v>
      </c>
      <c r="R12" s="2">
        <f t="shared" si="2"/>
        <v>15360</v>
      </c>
    </row>
    <row r="13" spans="1:18" ht="16.5" customHeight="1">
      <c r="A13" s="2">
        <v>12</v>
      </c>
      <c r="B13" s="23" t="str">
        <f t="shared" si="0"/>
        <v>[1,2,3,4,5,6,7]</v>
      </c>
      <c r="C13" s="23" t="str">
        <f t="shared" si="1"/>
        <v>[300,600,1200,2400,4800,9600,19200]</v>
      </c>
      <c r="D13" s="2"/>
      <c r="E13" s="2">
        <v>1</v>
      </c>
      <c r="F13" s="2">
        <v>2</v>
      </c>
      <c r="G13" s="2">
        <v>3</v>
      </c>
      <c r="H13" s="2">
        <v>4</v>
      </c>
      <c r="I13" s="2">
        <v>5</v>
      </c>
      <c r="J13" s="2">
        <v>6</v>
      </c>
      <c r="K13" s="2">
        <v>7</v>
      </c>
      <c r="L13" s="2">
        <v>300</v>
      </c>
      <c r="M13" s="2">
        <f t="shared" si="2"/>
        <v>600</v>
      </c>
      <c r="N13" s="2">
        <f t="shared" si="2"/>
        <v>1200</v>
      </c>
      <c r="O13" s="2">
        <f t="shared" si="2"/>
        <v>2400</v>
      </c>
      <c r="P13" s="2">
        <f t="shared" si="2"/>
        <v>4800</v>
      </c>
      <c r="Q13" s="2">
        <f t="shared" si="2"/>
        <v>9600</v>
      </c>
      <c r="R13" s="2">
        <f t="shared" si="2"/>
        <v>19200</v>
      </c>
    </row>
    <row r="14" spans="1:18" ht="16.5" customHeight="1">
      <c r="A14" s="2">
        <v>13</v>
      </c>
      <c r="B14" s="23" t="str">
        <f t="shared" si="0"/>
        <v>[1,2,3,4,5,6,7]</v>
      </c>
      <c r="C14" s="23" t="str">
        <f t="shared" si="1"/>
        <v>[360,720,1440,2880,5760,11520,23040]</v>
      </c>
      <c r="D14" s="2"/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>
        <v>7</v>
      </c>
      <c r="L14" s="2">
        <v>360</v>
      </c>
      <c r="M14" s="2">
        <f t="shared" si="2"/>
        <v>720</v>
      </c>
      <c r="N14" s="2">
        <f t="shared" si="2"/>
        <v>1440</v>
      </c>
      <c r="O14" s="2">
        <f t="shared" si="2"/>
        <v>2880</v>
      </c>
      <c r="P14" s="2">
        <f t="shared" si="2"/>
        <v>5760</v>
      </c>
      <c r="Q14" s="2">
        <f t="shared" si="2"/>
        <v>11520</v>
      </c>
      <c r="R14" s="2">
        <f t="shared" si="2"/>
        <v>23040</v>
      </c>
    </row>
    <row r="15" spans="1:18" ht="16.5" customHeight="1">
      <c r="A15" s="2">
        <v>14</v>
      </c>
      <c r="B15" s="23" t="str">
        <f t="shared" si="0"/>
        <v>[1,2,3,4,5,6,7]</v>
      </c>
      <c r="C15" s="23" t="str">
        <f t="shared" si="1"/>
        <v>[420,840,1680,3360,6720,13440,26880]</v>
      </c>
      <c r="D15" s="2"/>
      <c r="E15" s="2">
        <v>1</v>
      </c>
      <c r="F15" s="2">
        <v>2</v>
      </c>
      <c r="G15" s="2">
        <v>3</v>
      </c>
      <c r="H15" s="2">
        <v>4</v>
      </c>
      <c r="I15" s="2">
        <v>5</v>
      </c>
      <c r="J15" s="2">
        <v>6</v>
      </c>
      <c r="K15" s="2">
        <v>7</v>
      </c>
      <c r="L15" s="2">
        <v>420</v>
      </c>
      <c r="M15" s="2">
        <f t="shared" si="2"/>
        <v>840</v>
      </c>
      <c r="N15" s="2">
        <f t="shared" si="2"/>
        <v>1680</v>
      </c>
      <c r="O15" s="2">
        <f t="shared" si="2"/>
        <v>3360</v>
      </c>
      <c r="P15" s="2">
        <f t="shared" si="2"/>
        <v>6720</v>
      </c>
      <c r="Q15" s="2">
        <f t="shared" si="2"/>
        <v>13440</v>
      </c>
      <c r="R15" s="2">
        <f t="shared" si="2"/>
        <v>26880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topLeftCell="A17" workbookViewId="0">
      <selection activeCell="A2" sqref="A2:A36"/>
    </sheetView>
  </sheetViews>
  <sheetFormatPr defaultRowHeight="17.399999999999999"/>
  <cols>
    <col min="2" max="2" width="13.5" style="17" customWidth="1"/>
    <col min="3" max="3" width="10.19921875" bestFit="1" customWidth="1"/>
    <col min="4" max="4" width="11.3984375" bestFit="1" customWidth="1"/>
    <col min="5" max="5" width="11.8984375" bestFit="1" customWidth="1"/>
    <col min="6" max="6" width="18.8984375" bestFit="1" customWidth="1"/>
    <col min="7" max="7" width="11.8984375" bestFit="1" customWidth="1"/>
    <col min="8" max="8" width="18.8984375" bestFit="1" customWidth="1"/>
    <col min="9" max="9" width="11.8984375" bestFit="1" customWidth="1"/>
    <col min="10" max="10" width="18.8984375" bestFit="1" customWidth="1"/>
    <col min="11" max="11" width="13" customWidth="1"/>
    <col min="12" max="12" width="20" customWidth="1"/>
    <col min="15" max="15" width="13.5" bestFit="1" customWidth="1"/>
  </cols>
  <sheetData>
    <row r="1" spans="1:16" ht="17.55" customHeight="1" thickBot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60" t="s">
        <v>38</v>
      </c>
      <c r="M1" s="1" t="s">
        <v>39</v>
      </c>
      <c r="N1" s="1" t="s">
        <v>40</v>
      </c>
      <c r="P1" s="1" t="s">
        <v>41</v>
      </c>
    </row>
    <row r="2" spans="1:16">
      <c r="A2" s="2">
        <v>1</v>
      </c>
      <c r="B2" s="17">
        <v>113000</v>
      </c>
      <c r="C2" t="s">
        <v>42</v>
      </c>
      <c r="D2" t="s">
        <v>43</v>
      </c>
      <c r="E2" s="2">
        <v>50</v>
      </c>
      <c r="F2" s="2">
        <v>1</v>
      </c>
      <c r="G2" s="2">
        <v>15</v>
      </c>
      <c r="H2" s="2">
        <v>1</v>
      </c>
      <c r="I2" s="2">
        <v>1</v>
      </c>
      <c r="J2" s="2">
        <v>1</v>
      </c>
      <c r="K2" t="s">
        <v>44</v>
      </c>
      <c r="L2" s="61" t="s">
        <v>45</v>
      </c>
      <c r="M2" s="2">
        <v>-1</v>
      </c>
      <c r="N2" s="2">
        <v>2</v>
      </c>
      <c r="P2" t="s">
        <v>46</v>
      </c>
    </row>
    <row r="3" spans="1:16">
      <c r="A3" s="2">
        <v>2</v>
      </c>
      <c r="B3" s="17">
        <v>113001</v>
      </c>
      <c r="C3" t="s">
        <v>42</v>
      </c>
      <c r="D3" t="s">
        <v>47</v>
      </c>
      <c r="E3" s="2">
        <v>55</v>
      </c>
      <c r="F3" s="2">
        <v>1</v>
      </c>
      <c r="G3" s="2">
        <v>20</v>
      </c>
      <c r="H3" s="2">
        <v>1</v>
      </c>
      <c r="I3" s="2">
        <v>2</v>
      </c>
      <c r="J3" s="2">
        <v>1</v>
      </c>
      <c r="K3" t="s">
        <v>48</v>
      </c>
      <c r="L3" s="61" t="s">
        <v>49</v>
      </c>
      <c r="M3" s="2">
        <v>1</v>
      </c>
      <c r="N3" s="2">
        <v>3</v>
      </c>
      <c r="P3" t="s">
        <v>50</v>
      </c>
    </row>
    <row r="4" spans="1:16">
      <c r="A4" s="2">
        <v>3</v>
      </c>
      <c r="B4" s="17">
        <v>113002</v>
      </c>
      <c r="C4" t="s">
        <v>42</v>
      </c>
      <c r="D4" t="s">
        <v>51</v>
      </c>
      <c r="E4" s="2">
        <v>61</v>
      </c>
      <c r="F4" s="2">
        <v>1</v>
      </c>
      <c r="G4" s="2">
        <v>25</v>
      </c>
      <c r="H4" s="2">
        <v>1</v>
      </c>
      <c r="I4" s="2">
        <v>3</v>
      </c>
      <c r="J4" s="2">
        <v>1</v>
      </c>
      <c r="K4" t="s">
        <v>52</v>
      </c>
      <c r="L4" s="61" t="s">
        <v>53</v>
      </c>
      <c r="M4" s="2">
        <v>2</v>
      </c>
      <c r="N4" s="2">
        <v>4</v>
      </c>
      <c r="P4" t="s">
        <v>54</v>
      </c>
    </row>
    <row r="5" spans="1:16">
      <c r="A5" s="2">
        <v>4</v>
      </c>
      <c r="B5" s="17">
        <v>113003</v>
      </c>
      <c r="C5" t="s">
        <v>42</v>
      </c>
      <c r="D5" t="s">
        <v>55</v>
      </c>
      <c r="E5" s="2">
        <v>67</v>
      </c>
      <c r="F5" s="2">
        <v>1</v>
      </c>
      <c r="G5" s="2">
        <v>30</v>
      </c>
      <c r="H5" s="2">
        <v>1</v>
      </c>
      <c r="I5" s="2">
        <v>4</v>
      </c>
      <c r="J5" s="2">
        <v>1</v>
      </c>
      <c r="K5" t="s">
        <v>56</v>
      </c>
      <c r="L5" s="61" t="s">
        <v>57</v>
      </c>
      <c r="M5" s="2">
        <v>3</v>
      </c>
      <c r="N5" s="2">
        <v>5</v>
      </c>
      <c r="P5" t="s">
        <v>58</v>
      </c>
    </row>
    <row r="6" spans="1:16">
      <c r="A6" s="2">
        <v>5</v>
      </c>
      <c r="B6" s="17">
        <v>113004</v>
      </c>
      <c r="C6" t="s">
        <v>42</v>
      </c>
      <c r="D6" t="s">
        <v>59</v>
      </c>
      <c r="E6" s="2">
        <v>101</v>
      </c>
      <c r="F6" s="2">
        <v>2</v>
      </c>
      <c r="G6" s="2">
        <v>35</v>
      </c>
      <c r="H6" s="2">
        <v>1</v>
      </c>
      <c r="I6" s="2">
        <v>5</v>
      </c>
      <c r="J6" s="2">
        <v>1</v>
      </c>
      <c r="K6" t="s">
        <v>60</v>
      </c>
      <c r="L6" s="61" t="s">
        <v>45</v>
      </c>
      <c r="M6" s="2">
        <v>4</v>
      </c>
      <c r="N6" s="2">
        <v>6</v>
      </c>
      <c r="P6" t="s">
        <v>61</v>
      </c>
    </row>
    <row r="7" spans="1:16">
      <c r="A7" s="2">
        <v>6</v>
      </c>
      <c r="B7" s="17">
        <v>113005</v>
      </c>
      <c r="C7" t="s">
        <v>62</v>
      </c>
      <c r="D7" t="s">
        <v>63</v>
      </c>
      <c r="E7" s="2">
        <v>162</v>
      </c>
      <c r="F7" s="2">
        <v>3</v>
      </c>
      <c r="G7" s="2">
        <v>40</v>
      </c>
      <c r="H7" s="2">
        <v>2</v>
      </c>
      <c r="I7" s="2">
        <v>6</v>
      </c>
      <c r="J7" s="2">
        <v>2</v>
      </c>
      <c r="K7" t="s">
        <v>64</v>
      </c>
      <c r="L7" s="61" t="s">
        <v>65</v>
      </c>
      <c r="M7" s="2">
        <v>5</v>
      </c>
      <c r="N7" s="2">
        <v>7</v>
      </c>
      <c r="P7" t="s">
        <v>66</v>
      </c>
    </row>
    <row r="8" spans="1:16">
      <c r="A8" s="2">
        <v>7</v>
      </c>
      <c r="B8" s="17">
        <v>113006</v>
      </c>
      <c r="C8" t="s">
        <v>62</v>
      </c>
      <c r="D8" t="s">
        <v>67</v>
      </c>
      <c r="E8" s="2">
        <v>178</v>
      </c>
      <c r="F8" s="2">
        <v>4</v>
      </c>
      <c r="G8" s="2">
        <v>50</v>
      </c>
      <c r="H8" s="2">
        <v>2</v>
      </c>
      <c r="I8" s="2">
        <v>7</v>
      </c>
      <c r="J8" s="2">
        <v>2</v>
      </c>
      <c r="K8" t="s">
        <v>68</v>
      </c>
      <c r="L8" s="61" t="s">
        <v>69</v>
      </c>
      <c r="M8" s="2">
        <v>6</v>
      </c>
      <c r="N8" s="2">
        <v>8</v>
      </c>
      <c r="P8" t="s">
        <v>70</v>
      </c>
    </row>
    <row r="9" spans="1:16">
      <c r="A9" s="2">
        <v>8</v>
      </c>
      <c r="B9" s="17">
        <v>113007</v>
      </c>
      <c r="C9" t="s">
        <v>62</v>
      </c>
      <c r="D9" t="s">
        <v>71</v>
      </c>
      <c r="E9" s="2">
        <v>196</v>
      </c>
      <c r="F9" s="2">
        <v>4</v>
      </c>
      <c r="G9" s="2">
        <v>55</v>
      </c>
      <c r="H9" s="2">
        <v>2</v>
      </c>
      <c r="I9" s="2">
        <v>8</v>
      </c>
      <c r="J9" s="2">
        <v>2</v>
      </c>
      <c r="K9" t="s">
        <v>72</v>
      </c>
      <c r="L9" s="61" t="s">
        <v>73</v>
      </c>
      <c r="M9" s="2">
        <v>7</v>
      </c>
      <c r="N9" s="2">
        <v>9</v>
      </c>
      <c r="P9" t="s">
        <v>74</v>
      </c>
    </row>
    <row r="10" spans="1:16">
      <c r="A10" s="2">
        <v>9</v>
      </c>
      <c r="B10" s="17">
        <v>113008</v>
      </c>
      <c r="C10" t="s">
        <v>62</v>
      </c>
      <c r="D10" t="s">
        <v>75</v>
      </c>
      <c r="E10" s="2">
        <v>216</v>
      </c>
      <c r="F10" s="2">
        <v>4</v>
      </c>
      <c r="G10" s="2">
        <v>59</v>
      </c>
      <c r="H10" s="2">
        <v>2</v>
      </c>
      <c r="I10" s="2">
        <v>9</v>
      </c>
      <c r="J10" s="2">
        <v>2</v>
      </c>
      <c r="K10" t="s">
        <v>76</v>
      </c>
      <c r="L10" s="61" t="s">
        <v>77</v>
      </c>
      <c r="M10" s="2">
        <v>8</v>
      </c>
      <c r="N10" s="2">
        <v>10</v>
      </c>
      <c r="P10" t="s">
        <v>78</v>
      </c>
    </row>
    <row r="11" spans="1:16">
      <c r="A11" s="2">
        <v>10</v>
      </c>
      <c r="B11" s="17">
        <v>113009</v>
      </c>
      <c r="C11" t="s">
        <v>62</v>
      </c>
      <c r="D11" t="s">
        <v>79</v>
      </c>
      <c r="E11" s="2">
        <v>324</v>
      </c>
      <c r="F11" s="2">
        <v>6</v>
      </c>
      <c r="G11" s="2">
        <v>65</v>
      </c>
      <c r="H11" s="2">
        <v>2</v>
      </c>
      <c r="I11" s="2">
        <v>10</v>
      </c>
      <c r="J11" s="2">
        <v>2</v>
      </c>
      <c r="K11" t="s">
        <v>80</v>
      </c>
      <c r="L11" s="61" t="s">
        <v>65</v>
      </c>
      <c r="M11" s="2">
        <v>9</v>
      </c>
      <c r="N11" s="2">
        <v>11</v>
      </c>
      <c r="P11" t="s">
        <v>81</v>
      </c>
    </row>
    <row r="12" spans="1:16">
      <c r="A12" s="2">
        <v>11</v>
      </c>
      <c r="B12" s="17">
        <v>113010</v>
      </c>
      <c r="C12" t="s">
        <v>82</v>
      </c>
      <c r="D12" t="s">
        <v>83</v>
      </c>
      <c r="E12" s="2">
        <v>518</v>
      </c>
      <c r="F12" s="2">
        <v>10</v>
      </c>
      <c r="G12" s="2">
        <v>69</v>
      </c>
      <c r="H12" s="2">
        <v>3</v>
      </c>
      <c r="I12" s="2">
        <v>11</v>
      </c>
      <c r="J12" s="2">
        <v>3</v>
      </c>
      <c r="K12" t="s">
        <v>84</v>
      </c>
      <c r="L12" s="61" t="s">
        <v>85</v>
      </c>
      <c r="M12" s="2">
        <v>10</v>
      </c>
      <c r="N12" s="2">
        <v>12</v>
      </c>
      <c r="P12" t="s">
        <v>86</v>
      </c>
    </row>
    <row r="13" spans="1:16">
      <c r="A13" s="2">
        <v>12</v>
      </c>
      <c r="B13" s="17">
        <v>113011</v>
      </c>
      <c r="C13" t="s">
        <v>82</v>
      </c>
      <c r="D13" t="s">
        <v>87</v>
      </c>
      <c r="E13" s="2">
        <v>570</v>
      </c>
      <c r="F13" s="2">
        <v>11</v>
      </c>
      <c r="G13" s="2">
        <v>79</v>
      </c>
      <c r="H13" s="2">
        <v>3</v>
      </c>
      <c r="I13" s="2">
        <v>12</v>
      </c>
      <c r="J13" s="2">
        <v>3</v>
      </c>
      <c r="K13" t="s">
        <v>88</v>
      </c>
      <c r="L13" s="61" t="s">
        <v>89</v>
      </c>
      <c r="M13" s="2">
        <v>11</v>
      </c>
      <c r="N13" s="2">
        <v>13</v>
      </c>
      <c r="P13" t="s">
        <v>90</v>
      </c>
    </row>
    <row r="14" spans="1:16">
      <c r="A14" s="2">
        <v>13</v>
      </c>
      <c r="B14" s="17">
        <v>113012</v>
      </c>
      <c r="C14" t="s">
        <v>82</v>
      </c>
      <c r="D14" t="s">
        <v>91</v>
      </c>
      <c r="E14" s="2">
        <v>627</v>
      </c>
      <c r="F14" s="2">
        <v>13</v>
      </c>
      <c r="G14" s="2">
        <v>89</v>
      </c>
      <c r="H14" s="2">
        <v>3</v>
      </c>
      <c r="I14" s="2">
        <v>13</v>
      </c>
      <c r="J14" s="2">
        <v>3</v>
      </c>
      <c r="K14" t="s">
        <v>92</v>
      </c>
      <c r="L14" s="61" t="s">
        <v>93</v>
      </c>
      <c r="M14" s="2">
        <v>12</v>
      </c>
      <c r="N14" s="2">
        <v>14</v>
      </c>
      <c r="P14" t="s">
        <v>94</v>
      </c>
    </row>
    <row r="15" spans="1:16">
      <c r="A15" s="2">
        <v>14</v>
      </c>
      <c r="B15" s="17">
        <v>113013</v>
      </c>
      <c r="C15" t="s">
        <v>82</v>
      </c>
      <c r="D15" t="s">
        <v>95</v>
      </c>
      <c r="E15" s="2">
        <v>690</v>
      </c>
      <c r="F15" s="2">
        <v>14</v>
      </c>
      <c r="G15" s="2">
        <v>99</v>
      </c>
      <c r="H15" s="2">
        <v>3</v>
      </c>
      <c r="I15" s="2">
        <v>14</v>
      </c>
      <c r="J15" s="2">
        <v>3</v>
      </c>
      <c r="K15" t="s">
        <v>96</v>
      </c>
      <c r="L15" s="61" t="s">
        <v>97</v>
      </c>
      <c r="M15" s="2">
        <v>13</v>
      </c>
      <c r="N15" s="2">
        <v>15</v>
      </c>
      <c r="P15" t="s">
        <v>98</v>
      </c>
    </row>
    <row r="16" spans="1:16">
      <c r="A16" s="2">
        <v>15</v>
      </c>
      <c r="B16" s="17">
        <v>113014</v>
      </c>
      <c r="C16" t="s">
        <v>82</v>
      </c>
      <c r="D16" t="s">
        <v>99</v>
      </c>
      <c r="E16" s="2">
        <v>966</v>
      </c>
      <c r="F16" s="2">
        <v>19</v>
      </c>
      <c r="G16" s="2">
        <v>149</v>
      </c>
      <c r="H16" s="2">
        <v>3</v>
      </c>
      <c r="I16" s="2">
        <v>15</v>
      </c>
      <c r="J16" s="2">
        <v>3</v>
      </c>
      <c r="K16" t="s">
        <v>100</v>
      </c>
      <c r="L16" s="61" t="s">
        <v>85</v>
      </c>
      <c r="M16" s="2">
        <v>14</v>
      </c>
      <c r="N16" s="2">
        <v>16</v>
      </c>
      <c r="P16" t="s">
        <v>101</v>
      </c>
    </row>
    <row r="17" spans="1:16">
      <c r="A17" s="2">
        <v>16</v>
      </c>
      <c r="B17" s="17">
        <v>113015</v>
      </c>
      <c r="C17" t="s">
        <v>102</v>
      </c>
      <c r="D17" t="s">
        <v>103</v>
      </c>
      <c r="E17" s="35">
        <v>1739</v>
      </c>
      <c r="F17" s="2">
        <v>35</v>
      </c>
      <c r="G17" s="2">
        <v>174</v>
      </c>
      <c r="H17" s="2">
        <v>5</v>
      </c>
      <c r="I17" s="2">
        <v>16</v>
      </c>
      <c r="J17" s="2">
        <v>4</v>
      </c>
      <c r="K17" t="s">
        <v>104</v>
      </c>
      <c r="L17" s="61" t="s">
        <v>105</v>
      </c>
      <c r="M17" s="2">
        <v>15</v>
      </c>
      <c r="N17" s="2">
        <v>17</v>
      </c>
      <c r="P17" t="s">
        <v>106</v>
      </c>
    </row>
    <row r="18" spans="1:16">
      <c r="A18" s="2">
        <v>17</v>
      </c>
      <c r="B18" s="17">
        <v>113016</v>
      </c>
      <c r="C18" t="s">
        <v>102</v>
      </c>
      <c r="D18" t="s">
        <v>107</v>
      </c>
      <c r="E18" s="35">
        <v>1913</v>
      </c>
      <c r="F18" s="2">
        <v>38</v>
      </c>
      <c r="G18" s="2">
        <v>198</v>
      </c>
      <c r="H18" s="2">
        <v>5</v>
      </c>
      <c r="I18" s="2">
        <v>17</v>
      </c>
      <c r="J18" s="2">
        <v>4</v>
      </c>
      <c r="K18" t="s">
        <v>108</v>
      </c>
      <c r="L18" s="61" t="s">
        <v>109</v>
      </c>
      <c r="M18" s="2">
        <v>16</v>
      </c>
      <c r="N18" s="2">
        <v>18</v>
      </c>
      <c r="P18" t="s">
        <v>110</v>
      </c>
    </row>
    <row r="19" spans="1:16">
      <c r="A19" s="2">
        <v>18</v>
      </c>
      <c r="B19" s="17">
        <v>113017</v>
      </c>
      <c r="C19" t="s">
        <v>102</v>
      </c>
      <c r="D19" t="s">
        <v>111</v>
      </c>
      <c r="E19" s="35">
        <v>2104</v>
      </c>
      <c r="F19" s="2">
        <v>42</v>
      </c>
      <c r="G19" s="2">
        <v>223</v>
      </c>
      <c r="H19" s="2">
        <v>5</v>
      </c>
      <c r="I19" s="2">
        <v>18</v>
      </c>
      <c r="J19" s="2">
        <v>4</v>
      </c>
      <c r="K19" t="s">
        <v>112</v>
      </c>
      <c r="L19" s="61" t="s">
        <v>113</v>
      </c>
      <c r="M19" s="2">
        <v>17</v>
      </c>
      <c r="N19" s="2">
        <v>19</v>
      </c>
      <c r="P19" t="s">
        <v>114</v>
      </c>
    </row>
    <row r="20" spans="1:16">
      <c r="A20" s="2">
        <v>19</v>
      </c>
      <c r="B20" s="17">
        <v>113018</v>
      </c>
      <c r="C20" t="s">
        <v>102</v>
      </c>
      <c r="D20" t="s">
        <v>115</v>
      </c>
      <c r="E20" s="35">
        <v>2314</v>
      </c>
      <c r="F20" s="2">
        <v>46</v>
      </c>
      <c r="G20" s="2">
        <v>248</v>
      </c>
      <c r="H20" s="2">
        <v>5</v>
      </c>
      <c r="I20" s="2">
        <v>19</v>
      </c>
      <c r="J20" s="2">
        <v>4</v>
      </c>
      <c r="K20" t="s">
        <v>116</v>
      </c>
      <c r="L20" s="61" t="s">
        <v>117</v>
      </c>
      <c r="M20" s="2">
        <v>18</v>
      </c>
      <c r="N20" s="2">
        <v>20</v>
      </c>
      <c r="P20" t="s">
        <v>118</v>
      </c>
    </row>
    <row r="21" spans="1:16">
      <c r="A21" s="2">
        <v>20</v>
      </c>
      <c r="B21" s="17">
        <v>113019</v>
      </c>
      <c r="C21" t="s">
        <v>102</v>
      </c>
      <c r="D21" t="s">
        <v>119</v>
      </c>
      <c r="E21" s="35">
        <v>3702</v>
      </c>
      <c r="F21" s="2">
        <v>74</v>
      </c>
      <c r="G21" s="2">
        <v>273</v>
      </c>
      <c r="H21" s="2">
        <v>5</v>
      </c>
      <c r="I21" s="2">
        <v>20</v>
      </c>
      <c r="J21" s="2">
        <v>4</v>
      </c>
      <c r="K21" t="s">
        <v>120</v>
      </c>
      <c r="L21" s="61" t="s">
        <v>105</v>
      </c>
      <c r="M21" s="2">
        <v>19</v>
      </c>
      <c r="N21" s="2">
        <v>21</v>
      </c>
      <c r="P21" t="s">
        <v>121</v>
      </c>
    </row>
    <row r="22" spans="1:16">
      <c r="A22" s="2">
        <v>21</v>
      </c>
      <c r="B22" s="17">
        <v>113020</v>
      </c>
      <c r="C22" t="s">
        <v>122</v>
      </c>
      <c r="D22" t="s">
        <v>123</v>
      </c>
      <c r="E22" s="35">
        <v>4442</v>
      </c>
      <c r="F22" s="2">
        <v>89</v>
      </c>
      <c r="G22" s="2">
        <v>297</v>
      </c>
      <c r="H22" s="2">
        <v>8</v>
      </c>
      <c r="I22" s="2">
        <v>21</v>
      </c>
      <c r="J22" s="2">
        <v>5</v>
      </c>
      <c r="K22" t="s">
        <v>124</v>
      </c>
      <c r="L22" s="61" t="s">
        <v>125</v>
      </c>
      <c r="M22" s="2">
        <v>20</v>
      </c>
      <c r="N22" s="2">
        <v>22</v>
      </c>
      <c r="P22" t="s">
        <v>126</v>
      </c>
    </row>
    <row r="23" spans="1:16">
      <c r="A23" s="2">
        <v>22</v>
      </c>
      <c r="B23" s="17">
        <v>113021</v>
      </c>
      <c r="C23" t="s">
        <v>122</v>
      </c>
      <c r="D23" t="s">
        <v>127</v>
      </c>
      <c r="E23" s="35">
        <v>5330</v>
      </c>
      <c r="F23" s="2">
        <v>107</v>
      </c>
      <c r="G23" s="2">
        <v>347</v>
      </c>
      <c r="H23" s="2">
        <v>8</v>
      </c>
      <c r="I23" s="2">
        <v>22</v>
      </c>
      <c r="J23" s="2">
        <v>5</v>
      </c>
      <c r="K23" t="s">
        <v>128</v>
      </c>
      <c r="L23" s="61" t="s">
        <v>129</v>
      </c>
      <c r="M23" s="2">
        <v>21</v>
      </c>
      <c r="N23" s="2">
        <v>23</v>
      </c>
      <c r="P23" t="s">
        <v>130</v>
      </c>
    </row>
    <row r="24" spans="1:16">
      <c r="A24" s="2">
        <v>23</v>
      </c>
      <c r="B24" s="17">
        <v>113022</v>
      </c>
      <c r="C24" t="s">
        <v>122</v>
      </c>
      <c r="D24" t="s">
        <v>131</v>
      </c>
      <c r="E24" s="35">
        <v>6396</v>
      </c>
      <c r="F24" s="2">
        <v>128</v>
      </c>
      <c r="G24" s="2">
        <v>396</v>
      </c>
      <c r="H24" s="2">
        <v>8</v>
      </c>
      <c r="I24" s="2">
        <v>23</v>
      </c>
      <c r="J24" s="2">
        <v>5</v>
      </c>
      <c r="K24" t="s">
        <v>132</v>
      </c>
      <c r="L24" s="61" t="s">
        <v>133</v>
      </c>
      <c r="M24" s="2">
        <v>22</v>
      </c>
      <c r="N24" s="2">
        <v>24</v>
      </c>
      <c r="P24" t="s">
        <v>134</v>
      </c>
    </row>
    <row r="25" spans="1:16">
      <c r="A25" s="2">
        <v>24</v>
      </c>
      <c r="B25" s="17">
        <v>113023</v>
      </c>
      <c r="C25" t="s">
        <v>122</v>
      </c>
      <c r="D25" t="s">
        <v>135</v>
      </c>
      <c r="E25" s="35">
        <v>7675</v>
      </c>
      <c r="F25" s="2">
        <v>154</v>
      </c>
      <c r="G25" s="2">
        <v>446</v>
      </c>
      <c r="H25" s="2">
        <v>8</v>
      </c>
      <c r="I25" s="2">
        <v>24</v>
      </c>
      <c r="J25" s="2">
        <v>5</v>
      </c>
      <c r="K25" t="s">
        <v>136</v>
      </c>
      <c r="L25" s="61" t="s">
        <v>137</v>
      </c>
      <c r="M25" s="2">
        <v>23</v>
      </c>
      <c r="N25" s="2">
        <v>25</v>
      </c>
      <c r="P25" t="s">
        <v>138</v>
      </c>
    </row>
    <row r="26" spans="1:16">
      <c r="A26" s="2">
        <v>25</v>
      </c>
      <c r="B26" s="17">
        <v>113024</v>
      </c>
      <c r="C26" t="s">
        <v>122</v>
      </c>
      <c r="D26" t="s">
        <v>139</v>
      </c>
      <c r="E26" s="35">
        <v>10745</v>
      </c>
      <c r="F26" s="2">
        <v>215</v>
      </c>
      <c r="G26" s="2">
        <v>495</v>
      </c>
      <c r="H26" s="2">
        <v>8</v>
      </c>
      <c r="I26" s="2">
        <v>25</v>
      </c>
      <c r="J26" s="2">
        <v>5</v>
      </c>
      <c r="K26" t="s">
        <v>140</v>
      </c>
      <c r="L26" s="61" t="s">
        <v>125</v>
      </c>
      <c r="M26" s="2">
        <v>24</v>
      </c>
      <c r="N26" s="2">
        <v>26</v>
      </c>
      <c r="P26" t="s">
        <v>141</v>
      </c>
    </row>
    <row r="27" spans="1:16">
      <c r="A27" s="2">
        <v>26</v>
      </c>
      <c r="B27" s="17">
        <v>113025</v>
      </c>
      <c r="C27" t="s">
        <v>142</v>
      </c>
      <c r="D27" t="s">
        <v>143</v>
      </c>
      <c r="E27" s="35">
        <v>20416</v>
      </c>
      <c r="F27" s="2">
        <v>306</v>
      </c>
      <c r="G27" s="2">
        <v>594</v>
      </c>
      <c r="H27" s="2">
        <v>9</v>
      </c>
      <c r="I27" s="2">
        <v>26</v>
      </c>
      <c r="J27" s="2">
        <v>6</v>
      </c>
      <c r="K27" t="s">
        <v>144</v>
      </c>
      <c r="L27" s="61" t="s">
        <v>145</v>
      </c>
      <c r="M27" s="2">
        <v>25</v>
      </c>
      <c r="N27" s="2">
        <v>27</v>
      </c>
      <c r="P27" t="s">
        <v>146</v>
      </c>
    </row>
    <row r="28" spans="1:16">
      <c r="A28" s="2">
        <v>27</v>
      </c>
      <c r="B28" s="17">
        <v>113026</v>
      </c>
      <c r="C28" t="s">
        <v>142</v>
      </c>
      <c r="D28" t="s">
        <v>147</v>
      </c>
      <c r="E28" s="35">
        <v>26541</v>
      </c>
      <c r="F28" s="2">
        <v>398</v>
      </c>
      <c r="G28" s="2">
        <v>644</v>
      </c>
      <c r="H28" s="2">
        <v>10</v>
      </c>
      <c r="I28" s="2">
        <v>27</v>
      </c>
      <c r="J28" s="2">
        <v>6</v>
      </c>
      <c r="K28" t="s">
        <v>148</v>
      </c>
      <c r="L28" s="61" t="s">
        <v>149</v>
      </c>
      <c r="M28" s="2">
        <v>26</v>
      </c>
      <c r="N28" s="2">
        <v>28</v>
      </c>
      <c r="P28" t="s">
        <v>150</v>
      </c>
    </row>
    <row r="29" spans="1:16">
      <c r="A29" s="2">
        <v>28</v>
      </c>
      <c r="B29" s="17">
        <v>113027</v>
      </c>
      <c r="C29" t="s">
        <v>142</v>
      </c>
      <c r="D29" t="s">
        <v>151</v>
      </c>
      <c r="E29" s="35">
        <v>34503</v>
      </c>
      <c r="F29" s="2">
        <v>518</v>
      </c>
      <c r="G29" s="35">
        <v>693</v>
      </c>
      <c r="H29" s="2">
        <v>10</v>
      </c>
      <c r="I29" s="2">
        <v>28</v>
      </c>
      <c r="J29" s="2">
        <v>6</v>
      </c>
      <c r="K29" t="s">
        <v>152</v>
      </c>
      <c r="L29" s="61" t="s">
        <v>153</v>
      </c>
      <c r="M29" s="2">
        <v>27</v>
      </c>
      <c r="N29" s="2">
        <v>29</v>
      </c>
      <c r="P29" t="s">
        <v>154</v>
      </c>
    </row>
    <row r="30" spans="1:16">
      <c r="A30" s="2">
        <v>29</v>
      </c>
      <c r="B30" s="17">
        <v>113028</v>
      </c>
      <c r="C30" t="s">
        <v>142</v>
      </c>
      <c r="D30" t="s">
        <v>155</v>
      </c>
      <c r="E30" s="35">
        <v>44854</v>
      </c>
      <c r="F30" s="2">
        <v>673</v>
      </c>
      <c r="G30" s="35">
        <v>743</v>
      </c>
      <c r="H30" s="2">
        <v>10</v>
      </c>
      <c r="I30" s="2">
        <v>29</v>
      </c>
      <c r="J30" s="2">
        <v>6</v>
      </c>
      <c r="K30" t="s">
        <v>156</v>
      </c>
      <c r="L30" s="61" t="s">
        <v>157</v>
      </c>
      <c r="M30" s="2">
        <v>28</v>
      </c>
      <c r="N30" s="2">
        <v>30</v>
      </c>
      <c r="P30" t="s">
        <v>158</v>
      </c>
    </row>
    <row r="31" spans="1:16">
      <c r="A31" s="2">
        <v>30</v>
      </c>
      <c r="B31" s="17">
        <v>113029</v>
      </c>
      <c r="C31" t="s">
        <v>142</v>
      </c>
      <c r="D31" t="s">
        <v>159</v>
      </c>
      <c r="E31" s="35">
        <v>71766</v>
      </c>
      <c r="F31" s="35">
        <v>1076</v>
      </c>
      <c r="G31" s="35">
        <v>792</v>
      </c>
      <c r="H31" s="2">
        <v>15</v>
      </c>
      <c r="I31" s="2">
        <v>30</v>
      </c>
      <c r="J31" s="2">
        <v>6</v>
      </c>
      <c r="K31" t="s">
        <v>160</v>
      </c>
      <c r="L31" s="61" t="s">
        <v>145</v>
      </c>
      <c r="M31" s="2">
        <v>29</v>
      </c>
      <c r="N31" s="2">
        <v>31</v>
      </c>
      <c r="P31" t="s">
        <v>161</v>
      </c>
    </row>
    <row r="32" spans="1:16">
      <c r="A32" s="2">
        <v>31</v>
      </c>
      <c r="B32" s="17">
        <v>113030</v>
      </c>
      <c r="C32" t="s">
        <v>162</v>
      </c>
      <c r="D32" t="s">
        <v>163</v>
      </c>
      <c r="E32" s="35">
        <v>114826</v>
      </c>
      <c r="F32" s="35">
        <v>1148</v>
      </c>
      <c r="G32" s="35">
        <v>891</v>
      </c>
      <c r="H32" s="2">
        <v>20</v>
      </c>
      <c r="I32" s="2">
        <v>31</v>
      </c>
      <c r="J32" s="2">
        <v>7</v>
      </c>
      <c r="K32" t="s">
        <v>164</v>
      </c>
      <c r="L32" s="61" t="s">
        <v>165</v>
      </c>
      <c r="M32" s="2">
        <v>30</v>
      </c>
      <c r="N32" s="2">
        <v>32</v>
      </c>
      <c r="P32" t="s">
        <v>166</v>
      </c>
    </row>
    <row r="33" spans="1:16">
      <c r="A33" s="2">
        <v>32</v>
      </c>
      <c r="B33" s="17">
        <v>113031</v>
      </c>
      <c r="C33" t="s">
        <v>162</v>
      </c>
      <c r="D33" t="s">
        <v>167</v>
      </c>
      <c r="E33" s="35">
        <v>183722</v>
      </c>
      <c r="F33" s="35">
        <v>1837</v>
      </c>
      <c r="G33" s="35">
        <v>916</v>
      </c>
      <c r="H33" s="2">
        <v>20</v>
      </c>
      <c r="I33" s="2">
        <v>32</v>
      </c>
      <c r="J33" s="2">
        <v>7</v>
      </c>
      <c r="K33" t="s">
        <v>168</v>
      </c>
      <c r="L33" s="61" t="s">
        <v>169</v>
      </c>
      <c r="M33" s="2">
        <v>31</v>
      </c>
      <c r="N33" s="2">
        <v>33</v>
      </c>
      <c r="P33" t="s">
        <v>170</v>
      </c>
    </row>
    <row r="34" spans="1:16">
      <c r="A34" s="2">
        <v>33</v>
      </c>
      <c r="B34" s="17">
        <v>113032</v>
      </c>
      <c r="C34" t="s">
        <v>162</v>
      </c>
      <c r="D34" t="s">
        <v>171</v>
      </c>
      <c r="E34" s="35">
        <v>293955</v>
      </c>
      <c r="F34" s="35">
        <v>2940</v>
      </c>
      <c r="G34" s="35">
        <v>941</v>
      </c>
      <c r="H34" s="2">
        <v>20</v>
      </c>
      <c r="I34" s="2">
        <v>33</v>
      </c>
      <c r="J34" s="2">
        <v>7</v>
      </c>
      <c r="K34" t="s">
        <v>172</v>
      </c>
      <c r="L34" s="61" t="s">
        <v>173</v>
      </c>
      <c r="M34" s="2">
        <v>32</v>
      </c>
      <c r="N34" s="2">
        <v>34</v>
      </c>
      <c r="P34" t="s">
        <v>174</v>
      </c>
    </row>
    <row r="35" spans="1:16">
      <c r="A35" s="2">
        <v>34</v>
      </c>
      <c r="B35" s="17">
        <v>113033</v>
      </c>
      <c r="C35" t="s">
        <v>162</v>
      </c>
      <c r="D35" t="s">
        <v>175</v>
      </c>
      <c r="E35" s="35">
        <v>470328</v>
      </c>
      <c r="F35" s="35">
        <v>4703</v>
      </c>
      <c r="G35" s="35">
        <v>966</v>
      </c>
      <c r="H35" s="2">
        <v>21</v>
      </c>
      <c r="I35" s="2">
        <v>34</v>
      </c>
      <c r="J35" s="2">
        <v>7</v>
      </c>
      <c r="K35" t="s">
        <v>176</v>
      </c>
      <c r="L35" s="61" t="s">
        <v>177</v>
      </c>
      <c r="M35" s="2">
        <v>33</v>
      </c>
      <c r="N35" s="2">
        <v>35</v>
      </c>
      <c r="P35" t="s">
        <v>178</v>
      </c>
    </row>
    <row r="36" spans="1:16">
      <c r="A36" s="2">
        <v>35</v>
      </c>
      <c r="B36" s="17">
        <v>113034</v>
      </c>
      <c r="C36" t="s">
        <v>162</v>
      </c>
      <c r="D36" t="s">
        <v>179</v>
      </c>
      <c r="E36" s="35">
        <v>752525</v>
      </c>
      <c r="F36" s="35">
        <v>6020</v>
      </c>
      <c r="G36" s="35">
        <v>990</v>
      </c>
      <c r="H36" s="2">
        <v>23</v>
      </c>
      <c r="I36" s="2">
        <v>35</v>
      </c>
      <c r="J36" s="2">
        <v>7</v>
      </c>
      <c r="K36" t="s">
        <v>180</v>
      </c>
      <c r="L36" s="61" t="s">
        <v>165</v>
      </c>
      <c r="M36" s="2">
        <v>34</v>
      </c>
      <c r="N36" s="2">
        <v>-1</v>
      </c>
      <c r="P36" t="s">
        <v>181</v>
      </c>
    </row>
  </sheetData>
  <phoneticPr fontId="1" type="noConversion"/>
  <pageMargins left="0.7" right="0.7" top="0.75" bottom="0.75" header="0.3" footer="0.3"/>
  <pageSetup paperSize="9" orientation="portrait" horizont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topLeftCell="A21" workbookViewId="0">
      <selection activeCell="K2" sqref="K2:K36"/>
    </sheetView>
  </sheetViews>
  <sheetFormatPr defaultRowHeight="17.399999999999999"/>
  <cols>
    <col min="2" max="2" width="13.5" customWidth="1"/>
    <col min="3" max="3" width="10.19921875" bestFit="1" customWidth="1"/>
    <col min="4" max="4" width="11.3984375" bestFit="1" customWidth="1"/>
    <col min="5" max="5" width="11.8984375" bestFit="1" customWidth="1"/>
    <col min="6" max="6" width="18.8984375" bestFit="1" customWidth="1"/>
    <col min="7" max="7" width="11.8984375" bestFit="1" customWidth="1"/>
    <col min="8" max="8" width="18.8984375" bestFit="1" customWidth="1"/>
    <col min="9" max="9" width="11.8984375" bestFit="1" customWidth="1"/>
    <col min="10" max="10" width="18.8984375" bestFit="1" customWidth="1"/>
    <col min="11" max="11" width="13" customWidth="1"/>
    <col min="12" max="12" width="19" customWidth="1"/>
    <col min="15" max="15" width="13.5" bestFit="1" customWidth="1"/>
  </cols>
  <sheetData>
    <row r="1" spans="1:16" ht="17.55" customHeight="1" thickBot="1">
      <c r="A1" s="1" t="s">
        <v>0</v>
      </c>
      <c r="B1" s="1" t="s">
        <v>28</v>
      </c>
      <c r="C1" s="1" t="s">
        <v>29</v>
      </c>
      <c r="D1" s="1" t="s">
        <v>30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35</v>
      </c>
      <c r="J1" s="1" t="s">
        <v>36</v>
      </c>
      <c r="K1" s="1" t="s">
        <v>37</v>
      </c>
      <c r="L1" s="60" t="s">
        <v>186</v>
      </c>
      <c r="M1" s="1" t="s">
        <v>39</v>
      </c>
      <c r="N1" s="1" t="s">
        <v>40</v>
      </c>
      <c r="P1" s="1" t="s">
        <v>41</v>
      </c>
    </row>
    <row r="2" spans="1:16">
      <c r="A2" s="2">
        <v>1</v>
      </c>
      <c r="B2" s="17">
        <v>114000</v>
      </c>
      <c r="C2" t="s">
        <v>42</v>
      </c>
      <c r="D2" t="s">
        <v>43</v>
      </c>
      <c r="E2" s="2">
        <v>35</v>
      </c>
      <c r="F2" s="2">
        <v>2</v>
      </c>
      <c r="G2" s="2">
        <v>15</v>
      </c>
      <c r="H2" s="2">
        <v>1</v>
      </c>
      <c r="I2" s="3">
        <v>1</v>
      </c>
      <c r="J2" s="3">
        <v>1</v>
      </c>
      <c r="K2" t="s">
        <v>187</v>
      </c>
      <c r="L2" s="61" t="s">
        <v>188</v>
      </c>
      <c r="M2" s="2">
        <v>-1</v>
      </c>
      <c r="N2" s="2">
        <v>2</v>
      </c>
      <c r="P2" t="s">
        <v>189</v>
      </c>
    </row>
    <row r="3" spans="1:16">
      <c r="A3" s="2">
        <v>2</v>
      </c>
      <c r="B3" s="17">
        <v>114001</v>
      </c>
      <c r="C3" t="s">
        <v>42</v>
      </c>
      <c r="D3" t="s">
        <v>47</v>
      </c>
      <c r="E3" s="2">
        <v>39</v>
      </c>
      <c r="F3" s="2">
        <v>2</v>
      </c>
      <c r="G3" s="2">
        <v>20</v>
      </c>
      <c r="H3" s="2">
        <v>1</v>
      </c>
      <c r="I3" s="3">
        <v>2</v>
      </c>
      <c r="J3" s="3">
        <v>1</v>
      </c>
      <c r="K3" t="s">
        <v>190</v>
      </c>
      <c r="L3" s="61" t="s">
        <v>191</v>
      </c>
      <c r="M3" s="2">
        <v>1</v>
      </c>
      <c r="N3" s="2">
        <v>3</v>
      </c>
      <c r="P3" t="s">
        <v>192</v>
      </c>
    </row>
    <row r="4" spans="1:16">
      <c r="A4" s="2">
        <v>3</v>
      </c>
      <c r="B4" s="17">
        <v>114002</v>
      </c>
      <c r="C4" t="s">
        <v>42</v>
      </c>
      <c r="D4" t="s">
        <v>51</v>
      </c>
      <c r="E4" s="2">
        <v>43</v>
      </c>
      <c r="F4" s="2">
        <v>2</v>
      </c>
      <c r="G4" s="2">
        <v>25</v>
      </c>
      <c r="H4" s="2">
        <v>1</v>
      </c>
      <c r="I4" s="3">
        <v>3</v>
      </c>
      <c r="J4" s="3">
        <v>1</v>
      </c>
      <c r="K4" t="s">
        <v>193</v>
      </c>
      <c r="L4" s="61" t="s">
        <v>194</v>
      </c>
      <c r="M4" s="2">
        <v>2</v>
      </c>
      <c r="N4" s="2">
        <v>4</v>
      </c>
      <c r="P4" t="s">
        <v>195</v>
      </c>
    </row>
    <row r="5" spans="1:16">
      <c r="A5" s="2">
        <v>4</v>
      </c>
      <c r="B5" s="17">
        <v>114003</v>
      </c>
      <c r="C5" t="s">
        <v>42</v>
      </c>
      <c r="D5" t="s">
        <v>55</v>
      </c>
      <c r="E5" s="2">
        <v>47</v>
      </c>
      <c r="F5" s="2">
        <v>2</v>
      </c>
      <c r="G5" s="2">
        <v>30</v>
      </c>
      <c r="H5" s="2">
        <v>1</v>
      </c>
      <c r="I5" s="3">
        <v>4</v>
      </c>
      <c r="J5" s="3">
        <v>1</v>
      </c>
      <c r="K5" t="s">
        <v>196</v>
      </c>
      <c r="L5" s="61" t="s">
        <v>197</v>
      </c>
      <c r="M5" s="2">
        <v>3</v>
      </c>
      <c r="N5" s="2">
        <v>5</v>
      </c>
      <c r="P5" t="s">
        <v>198</v>
      </c>
    </row>
    <row r="6" spans="1:16">
      <c r="A6" s="2">
        <v>5</v>
      </c>
      <c r="B6" s="17">
        <v>114004</v>
      </c>
      <c r="C6" t="s">
        <v>42</v>
      </c>
      <c r="D6" t="s">
        <v>59</v>
      </c>
      <c r="E6" s="2">
        <v>71</v>
      </c>
      <c r="F6" s="2">
        <v>3</v>
      </c>
      <c r="G6" s="2">
        <v>35</v>
      </c>
      <c r="H6" s="2">
        <v>1</v>
      </c>
      <c r="I6" s="3">
        <v>5</v>
      </c>
      <c r="J6" s="3">
        <v>1</v>
      </c>
      <c r="K6" t="s">
        <v>199</v>
      </c>
      <c r="L6" s="61" t="s">
        <v>200</v>
      </c>
      <c r="M6" s="2">
        <v>4</v>
      </c>
      <c r="N6" s="2">
        <v>6</v>
      </c>
      <c r="P6" t="s">
        <v>201</v>
      </c>
    </row>
    <row r="7" spans="1:16">
      <c r="A7" s="2">
        <v>6</v>
      </c>
      <c r="B7" s="17">
        <v>114005</v>
      </c>
      <c r="C7" t="s">
        <v>62</v>
      </c>
      <c r="D7" t="s">
        <v>63</v>
      </c>
      <c r="E7" s="2">
        <v>114</v>
      </c>
      <c r="F7" s="2">
        <v>5</v>
      </c>
      <c r="G7" s="2">
        <v>40</v>
      </c>
      <c r="H7" s="2">
        <v>2</v>
      </c>
      <c r="I7" s="3">
        <v>6</v>
      </c>
      <c r="J7" s="3">
        <v>2</v>
      </c>
      <c r="K7" t="s">
        <v>202</v>
      </c>
      <c r="L7" s="61" t="s">
        <v>203</v>
      </c>
      <c r="M7" s="2">
        <v>5</v>
      </c>
      <c r="N7" s="2">
        <v>7</v>
      </c>
      <c r="P7" t="s">
        <v>204</v>
      </c>
    </row>
    <row r="8" spans="1:16">
      <c r="A8" s="2">
        <v>7</v>
      </c>
      <c r="B8" s="17">
        <v>114006</v>
      </c>
      <c r="C8" t="s">
        <v>62</v>
      </c>
      <c r="D8" t="s">
        <v>67</v>
      </c>
      <c r="E8" s="2">
        <v>125</v>
      </c>
      <c r="F8" s="2">
        <v>6</v>
      </c>
      <c r="G8" s="2">
        <v>50</v>
      </c>
      <c r="H8" s="2">
        <v>2</v>
      </c>
      <c r="I8" s="3">
        <v>7</v>
      </c>
      <c r="J8" s="3">
        <v>2</v>
      </c>
      <c r="K8" t="s">
        <v>205</v>
      </c>
      <c r="L8" s="61" t="s">
        <v>206</v>
      </c>
      <c r="M8" s="2">
        <v>6</v>
      </c>
      <c r="N8" s="2">
        <v>8</v>
      </c>
      <c r="P8" t="s">
        <v>207</v>
      </c>
    </row>
    <row r="9" spans="1:16">
      <c r="A9" s="2">
        <v>8</v>
      </c>
      <c r="B9" s="17">
        <v>114007</v>
      </c>
      <c r="C9" t="s">
        <v>62</v>
      </c>
      <c r="D9" t="s">
        <v>71</v>
      </c>
      <c r="E9" s="2">
        <v>138</v>
      </c>
      <c r="F9" s="2">
        <v>6</v>
      </c>
      <c r="G9" s="2">
        <v>55</v>
      </c>
      <c r="H9" s="2">
        <v>2</v>
      </c>
      <c r="I9" s="3">
        <v>8</v>
      </c>
      <c r="J9" s="3">
        <v>2</v>
      </c>
      <c r="K9" t="s">
        <v>208</v>
      </c>
      <c r="L9" s="61" t="s">
        <v>209</v>
      </c>
      <c r="M9" s="2">
        <v>7</v>
      </c>
      <c r="N9" s="2">
        <v>9</v>
      </c>
      <c r="P9" t="s">
        <v>210</v>
      </c>
    </row>
    <row r="10" spans="1:16">
      <c r="A10" s="2">
        <v>9</v>
      </c>
      <c r="B10" s="17">
        <v>114008</v>
      </c>
      <c r="C10" t="s">
        <v>62</v>
      </c>
      <c r="D10" t="s">
        <v>75</v>
      </c>
      <c r="E10" s="2">
        <v>152</v>
      </c>
      <c r="F10" s="2">
        <v>6</v>
      </c>
      <c r="G10" s="2">
        <v>59</v>
      </c>
      <c r="H10" s="2">
        <v>2</v>
      </c>
      <c r="I10" s="3">
        <v>9</v>
      </c>
      <c r="J10" s="3">
        <v>2</v>
      </c>
      <c r="K10" t="s">
        <v>211</v>
      </c>
      <c r="L10" s="61" t="s">
        <v>212</v>
      </c>
      <c r="M10" s="2">
        <v>8</v>
      </c>
      <c r="N10" s="2">
        <v>10</v>
      </c>
      <c r="P10" t="s">
        <v>213</v>
      </c>
    </row>
    <row r="11" spans="1:16">
      <c r="A11" s="2">
        <v>10</v>
      </c>
      <c r="B11" s="17">
        <v>114009</v>
      </c>
      <c r="C11" t="s">
        <v>62</v>
      </c>
      <c r="D11" t="s">
        <v>79</v>
      </c>
      <c r="E11" s="2">
        <v>228</v>
      </c>
      <c r="F11" s="2">
        <v>9</v>
      </c>
      <c r="G11" s="2">
        <v>65</v>
      </c>
      <c r="H11" s="2">
        <v>2</v>
      </c>
      <c r="I11" s="3">
        <v>10</v>
      </c>
      <c r="J11" s="3">
        <v>2</v>
      </c>
      <c r="K11" t="s">
        <v>214</v>
      </c>
      <c r="L11" s="61" t="s">
        <v>215</v>
      </c>
      <c r="M11" s="2">
        <v>9</v>
      </c>
      <c r="N11" s="2">
        <v>11</v>
      </c>
      <c r="P11" t="s">
        <v>216</v>
      </c>
    </row>
    <row r="12" spans="1:16">
      <c r="A12" s="2">
        <v>11</v>
      </c>
      <c r="B12" s="17">
        <v>114010</v>
      </c>
      <c r="C12" t="s">
        <v>82</v>
      </c>
      <c r="D12" t="s">
        <v>83</v>
      </c>
      <c r="E12" s="2">
        <v>365</v>
      </c>
      <c r="F12" s="2">
        <v>15</v>
      </c>
      <c r="G12" s="2">
        <v>69</v>
      </c>
      <c r="H12" s="2">
        <v>3</v>
      </c>
      <c r="I12" s="3">
        <v>11</v>
      </c>
      <c r="J12" s="3">
        <v>3</v>
      </c>
      <c r="K12" t="s">
        <v>217</v>
      </c>
      <c r="L12" s="61" t="s">
        <v>218</v>
      </c>
      <c r="M12" s="2">
        <v>10</v>
      </c>
      <c r="N12" s="2">
        <v>12</v>
      </c>
      <c r="P12" t="s">
        <v>219</v>
      </c>
    </row>
    <row r="13" spans="1:16">
      <c r="A13" s="2">
        <v>12</v>
      </c>
      <c r="B13" s="17">
        <v>114011</v>
      </c>
      <c r="C13" t="s">
        <v>82</v>
      </c>
      <c r="D13" t="s">
        <v>87</v>
      </c>
      <c r="E13" s="2">
        <v>402</v>
      </c>
      <c r="F13" s="2">
        <v>17</v>
      </c>
      <c r="G13" s="2">
        <v>79</v>
      </c>
      <c r="H13" s="2">
        <v>3</v>
      </c>
      <c r="I13" s="3">
        <v>12</v>
      </c>
      <c r="J13" s="3">
        <v>3</v>
      </c>
      <c r="K13" t="s">
        <v>220</v>
      </c>
      <c r="L13" s="61" t="s">
        <v>221</v>
      </c>
      <c r="M13" s="2">
        <v>11</v>
      </c>
      <c r="N13" s="2">
        <v>13</v>
      </c>
      <c r="P13" t="s">
        <v>222</v>
      </c>
    </row>
    <row r="14" spans="1:16">
      <c r="A14" s="2">
        <v>13</v>
      </c>
      <c r="B14" s="17">
        <v>114012</v>
      </c>
      <c r="C14" t="s">
        <v>82</v>
      </c>
      <c r="D14" t="s">
        <v>91</v>
      </c>
      <c r="E14" s="2">
        <v>442</v>
      </c>
      <c r="F14" s="2">
        <v>20</v>
      </c>
      <c r="G14" s="2">
        <v>89</v>
      </c>
      <c r="H14" s="2">
        <v>3</v>
      </c>
      <c r="I14" s="3">
        <v>13</v>
      </c>
      <c r="J14" s="3">
        <v>3</v>
      </c>
      <c r="K14" t="s">
        <v>223</v>
      </c>
      <c r="L14" s="61" t="s">
        <v>224</v>
      </c>
      <c r="M14" s="2">
        <v>12</v>
      </c>
      <c r="N14" s="2">
        <v>14</v>
      </c>
      <c r="P14" t="s">
        <v>225</v>
      </c>
    </row>
    <row r="15" spans="1:16">
      <c r="A15" s="2">
        <v>14</v>
      </c>
      <c r="B15" s="17">
        <v>114013</v>
      </c>
      <c r="C15" t="s">
        <v>82</v>
      </c>
      <c r="D15" t="s">
        <v>95</v>
      </c>
      <c r="E15" s="2">
        <v>486</v>
      </c>
      <c r="F15" s="2">
        <v>21</v>
      </c>
      <c r="G15" s="2">
        <v>99</v>
      </c>
      <c r="H15" s="2">
        <v>3</v>
      </c>
      <c r="I15" s="3">
        <v>14</v>
      </c>
      <c r="J15" s="3">
        <v>3</v>
      </c>
      <c r="K15" t="s">
        <v>226</v>
      </c>
      <c r="L15" s="61" t="s">
        <v>227</v>
      </c>
      <c r="M15" s="2">
        <v>13</v>
      </c>
      <c r="N15" s="2">
        <v>15</v>
      </c>
      <c r="P15" t="s">
        <v>228</v>
      </c>
    </row>
    <row r="16" spans="1:16">
      <c r="A16" s="2">
        <v>15</v>
      </c>
      <c r="B16" s="17">
        <v>114014</v>
      </c>
      <c r="C16" t="s">
        <v>82</v>
      </c>
      <c r="D16" t="s">
        <v>99</v>
      </c>
      <c r="E16" s="2">
        <v>680</v>
      </c>
      <c r="F16" s="2">
        <v>29</v>
      </c>
      <c r="G16" s="2">
        <v>149</v>
      </c>
      <c r="H16" s="2">
        <v>3</v>
      </c>
      <c r="I16" s="3">
        <v>15</v>
      </c>
      <c r="J16" s="3">
        <v>3</v>
      </c>
      <c r="K16" t="s">
        <v>229</v>
      </c>
      <c r="L16" s="61" t="s">
        <v>230</v>
      </c>
      <c r="M16" s="2">
        <v>14</v>
      </c>
      <c r="N16" s="2">
        <v>16</v>
      </c>
      <c r="P16" t="s">
        <v>231</v>
      </c>
    </row>
    <row r="17" spans="1:16">
      <c r="A17" s="2">
        <v>16</v>
      </c>
      <c r="B17" s="17">
        <v>114015</v>
      </c>
      <c r="C17" t="s">
        <v>102</v>
      </c>
      <c r="D17" t="s">
        <v>103</v>
      </c>
      <c r="E17" s="35">
        <v>1224</v>
      </c>
      <c r="F17" s="2">
        <v>53</v>
      </c>
      <c r="G17" s="2">
        <v>174</v>
      </c>
      <c r="H17" s="2">
        <v>5</v>
      </c>
      <c r="I17" s="3">
        <v>16</v>
      </c>
      <c r="J17" s="3">
        <v>4</v>
      </c>
      <c r="K17" t="s">
        <v>232</v>
      </c>
      <c r="L17" s="61" t="s">
        <v>233</v>
      </c>
      <c r="M17" s="2">
        <v>15</v>
      </c>
      <c r="N17" s="2">
        <v>17</v>
      </c>
      <c r="P17" t="s">
        <v>234</v>
      </c>
    </row>
    <row r="18" spans="1:16">
      <c r="A18" s="2">
        <v>17</v>
      </c>
      <c r="B18" s="17">
        <v>114016</v>
      </c>
      <c r="C18" t="s">
        <v>102</v>
      </c>
      <c r="D18" t="s">
        <v>107</v>
      </c>
      <c r="E18" s="35">
        <v>1346</v>
      </c>
      <c r="F18" s="2">
        <v>57</v>
      </c>
      <c r="G18" s="2">
        <v>198</v>
      </c>
      <c r="H18" s="2">
        <v>5</v>
      </c>
      <c r="I18" s="3">
        <v>17</v>
      </c>
      <c r="J18" s="3">
        <v>4</v>
      </c>
      <c r="K18" t="s">
        <v>235</v>
      </c>
      <c r="L18" s="61" t="s">
        <v>236</v>
      </c>
      <c r="M18" s="2">
        <v>16</v>
      </c>
      <c r="N18" s="2">
        <v>18</v>
      </c>
      <c r="P18" t="s">
        <v>237</v>
      </c>
    </row>
    <row r="19" spans="1:16">
      <c r="A19" s="2">
        <v>18</v>
      </c>
      <c r="B19" s="17">
        <v>114017</v>
      </c>
      <c r="C19" t="s">
        <v>102</v>
      </c>
      <c r="D19" t="s">
        <v>111</v>
      </c>
      <c r="E19" s="35">
        <v>1481</v>
      </c>
      <c r="F19" s="2">
        <v>63</v>
      </c>
      <c r="G19" s="2">
        <v>223</v>
      </c>
      <c r="H19" s="2">
        <v>5</v>
      </c>
      <c r="I19" s="3">
        <v>18</v>
      </c>
      <c r="J19" s="3">
        <v>4</v>
      </c>
      <c r="K19" t="s">
        <v>238</v>
      </c>
      <c r="L19" s="61" t="s">
        <v>239</v>
      </c>
      <c r="M19" s="2">
        <v>17</v>
      </c>
      <c r="N19" s="2">
        <v>19</v>
      </c>
      <c r="P19" t="s">
        <v>240</v>
      </c>
    </row>
    <row r="20" spans="1:16">
      <c r="A20" s="2">
        <v>19</v>
      </c>
      <c r="B20" s="17">
        <v>114018</v>
      </c>
      <c r="C20" t="s">
        <v>102</v>
      </c>
      <c r="D20" t="s">
        <v>115</v>
      </c>
      <c r="E20" s="35">
        <v>1629</v>
      </c>
      <c r="F20" s="2">
        <v>69</v>
      </c>
      <c r="G20" s="2">
        <v>248</v>
      </c>
      <c r="H20" s="2">
        <v>5</v>
      </c>
      <c r="I20" s="3">
        <v>19</v>
      </c>
      <c r="J20" s="3">
        <v>4</v>
      </c>
      <c r="K20" t="s">
        <v>241</v>
      </c>
      <c r="L20" s="61" t="s">
        <v>242</v>
      </c>
      <c r="M20" s="2">
        <v>18</v>
      </c>
      <c r="N20" s="2">
        <v>20</v>
      </c>
      <c r="P20" t="s">
        <v>243</v>
      </c>
    </row>
    <row r="21" spans="1:16">
      <c r="A21" s="2">
        <v>20</v>
      </c>
      <c r="B21" s="17">
        <v>114019</v>
      </c>
      <c r="C21" t="s">
        <v>102</v>
      </c>
      <c r="D21" t="s">
        <v>119</v>
      </c>
      <c r="E21" s="35">
        <v>2606</v>
      </c>
      <c r="F21" s="2">
        <v>111</v>
      </c>
      <c r="G21" s="2">
        <v>273</v>
      </c>
      <c r="H21" s="2">
        <v>5</v>
      </c>
      <c r="I21" s="3">
        <v>20</v>
      </c>
      <c r="J21" s="3">
        <v>4</v>
      </c>
      <c r="K21" t="s">
        <v>244</v>
      </c>
      <c r="L21" s="61" t="s">
        <v>245</v>
      </c>
      <c r="M21" s="2">
        <v>19</v>
      </c>
      <c r="N21" s="2">
        <v>21</v>
      </c>
      <c r="P21" t="s">
        <v>246</v>
      </c>
    </row>
    <row r="22" spans="1:16">
      <c r="A22" s="2">
        <v>21</v>
      </c>
      <c r="B22" s="17">
        <v>114020</v>
      </c>
      <c r="C22" t="s">
        <v>122</v>
      </c>
      <c r="D22" t="s">
        <v>123</v>
      </c>
      <c r="E22" s="35">
        <v>3127</v>
      </c>
      <c r="F22" s="2">
        <v>134</v>
      </c>
      <c r="G22" s="2">
        <v>297</v>
      </c>
      <c r="H22" s="2">
        <v>8</v>
      </c>
      <c r="I22" s="3">
        <v>21</v>
      </c>
      <c r="J22" s="3">
        <v>5</v>
      </c>
      <c r="K22" t="s">
        <v>247</v>
      </c>
      <c r="L22" s="61" t="s">
        <v>242</v>
      </c>
      <c r="M22" s="2">
        <v>20</v>
      </c>
      <c r="N22" s="2">
        <v>22</v>
      </c>
      <c r="P22" t="s">
        <v>248</v>
      </c>
    </row>
    <row r="23" spans="1:16">
      <c r="A23" s="2">
        <v>22</v>
      </c>
      <c r="B23" s="17">
        <v>114021</v>
      </c>
      <c r="C23" t="s">
        <v>122</v>
      </c>
      <c r="D23" t="s">
        <v>127</v>
      </c>
      <c r="E23" s="35">
        <v>3752</v>
      </c>
      <c r="F23" s="2">
        <v>161</v>
      </c>
      <c r="G23" s="35">
        <v>347</v>
      </c>
      <c r="H23" s="2">
        <v>8</v>
      </c>
      <c r="I23" s="3">
        <v>22</v>
      </c>
      <c r="J23" s="3">
        <v>5</v>
      </c>
      <c r="K23" t="s">
        <v>249</v>
      </c>
      <c r="L23" s="61" t="s">
        <v>245</v>
      </c>
      <c r="M23" s="2">
        <v>21</v>
      </c>
      <c r="N23" s="2">
        <v>23</v>
      </c>
      <c r="P23" t="s">
        <v>250</v>
      </c>
    </row>
    <row r="24" spans="1:16">
      <c r="A24" s="2">
        <v>23</v>
      </c>
      <c r="B24" s="17">
        <v>114022</v>
      </c>
      <c r="C24" t="s">
        <v>122</v>
      </c>
      <c r="D24" t="s">
        <v>131</v>
      </c>
      <c r="E24" s="35">
        <v>4502</v>
      </c>
      <c r="F24" s="2">
        <v>192</v>
      </c>
      <c r="G24" s="35">
        <v>396</v>
      </c>
      <c r="H24" s="2">
        <v>8</v>
      </c>
      <c r="I24" s="3">
        <v>23</v>
      </c>
      <c r="J24" s="3">
        <v>5</v>
      </c>
      <c r="K24" t="s">
        <v>251</v>
      </c>
      <c r="L24" s="61" t="s">
        <v>252</v>
      </c>
      <c r="M24" s="2">
        <v>22</v>
      </c>
      <c r="N24" s="2">
        <v>24</v>
      </c>
      <c r="P24" t="s">
        <v>253</v>
      </c>
    </row>
    <row r="25" spans="1:16">
      <c r="A25" s="2">
        <v>24</v>
      </c>
      <c r="B25" s="17">
        <v>114023</v>
      </c>
      <c r="C25" t="s">
        <v>122</v>
      </c>
      <c r="D25" t="s">
        <v>135</v>
      </c>
      <c r="E25" s="35">
        <v>5402</v>
      </c>
      <c r="F25" s="2">
        <v>231</v>
      </c>
      <c r="G25" s="35">
        <v>446</v>
      </c>
      <c r="H25" s="2">
        <v>8</v>
      </c>
      <c r="I25" s="3">
        <v>24</v>
      </c>
      <c r="J25" s="3">
        <v>5</v>
      </c>
      <c r="K25" t="s">
        <v>254</v>
      </c>
      <c r="L25" s="61" t="s">
        <v>233</v>
      </c>
      <c r="M25" s="2">
        <v>23</v>
      </c>
      <c r="N25" s="2">
        <v>25</v>
      </c>
      <c r="P25" t="s">
        <v>255</v>
      </c>
    </row>
    <row r="26" spans="1:16">
      <c r="A26" s="2">
        <v>25</v>
      </c>
      <c r="B26" s="17">
        <v>114024</v>
      </c>
      <c r="C26" t="s">
        <v>122</v>
      </c>
      <c r="D26" t="s">
        <v>139</v>
      </c>
      <c r="E26" s="35">
        <v>7563</v>
      </c>
      <c r="F26" s="2">
        <v>323</v>
      </c>
      <c r="G26" s="35">
        <v>495</v>
      </c>
      <c r="H26" s="2">
        <v>8</v>
      </c>
      <c r="I26" s="3">
        <v>25</v>
      </c>
      <c r="J26" s="3">
        <v>5</v>
      </c>
      <c r="K26" t="s">
        <v>256</v>
      </c>
      <c r="L26" s="61" t="s">
        <v>236</v>
      </c>
      <c r="M26" s="2">
        <v>24</v>
      </c>
      <c r="N26" s="2">
        <v>26</v>
      </c>
      <c r="P26" t="s">
        <v>257</v>
      </c>
    </row>
    <row r="27" spans="1:16">
      <c r="A27" s="2">
        <v>26</v>
      </c>
      <c r="B27" s="17">
        <v>114025</v>
      </c>
      <c r="C27" t="s">
        <v>142</v>
      </c>
      <c r="D27" t="s">
        <v>143</v>
      </c>
      <c r="E27" s="35">
        <v>14370</v>
      </c>
      <c r="F27" s="2">
        <v>459</v>
      </c>
      <c r="G27" s="35">
        <v>594</v>
      </c>
      <c r="H27" s="2">
        <v>9</v>
      </c>
      <c r="I27" s="3">
        <v>26</v>
      </c>
      <c r="J27" s="3">
        <v>6</v>
      </c>
      <c r="K27" t="s">
        <v>258</v>
      </c>
      <c r="L27" s="61" t="s">
        <v>259</v>
      </c>
      <c r="M27" s="2">
        <v>25</v>
      </c>
      <c r="N27" s="2">
        <v>27</v>
      </c>
      <c r="P27" t="s">
        <v>260</v>
      </c>
    </row>
    <row r="28" spans="1:16">
      <c r="A28" s="2">
        <v>27</v>
      </c>
      <c r="B28" s="17">
        <v>114026</v>
      </c>
      <c r="C28" t="s">
        <v>142</v>
      </c>
      <c r="D28" t="s">
        <v>147</v>
      </c>
      <c r="E28" s="35">
        <v>18681</v>
      </c>
      <c r="F28" s="2">
        <v>597</v>
      </c>
      <c r="G28" s="35">
        <v>644</v>
      </c>
      <c r="H28" s="2">
        <v>10</v>
      </c>
      <c r="I28" s="3">
        <v>27</v>
      </c>
      <c r="J28" s="3">
        <v>6</v>
      </c>
      <c r="K28" t="s">
        <v>261</v>
      </c>
      <c r="L28" s="61" t="s">
        <v>262</v>
      </c>
      <c r="M28" s="2">
        <v>26</v>
      </c>
      <c r="N28" s="2">
        <v>28</v>
      </c>
      <c r="P28" t="s">
        <v>263</v>
      </c>
    </row>
    <row r="29" spans="1:16">
      <c r="A29" s="2">
        <v>28</v>
      </c>
      <c r="B29" s="17">
        <v>114027</v>
      </c>
      <c r="C29" t="s">
        <v>142</v>
      </c>
      <c r="D29" t="s">
        <v>151</v>
      </c>
      <c r="E29" s="35">
        <v>24285</v>
      </c>
      <c r="F29" s="2">
        <v>777</v>
      </c>
      <c r="G29" s="35">
        <v>693</v>
      </c>
      <c r="H29" s="2">
        <v>10</v>
      </c>
      <c r="I29" s="3">
        <v>28</v>
      </c>
      <c r="J29" s="3">
        <v>6</v>
      </c>
      <c r="K29" t="s">
        <v>264</v>
      </c>
      <c r="L29" s="61" t="s">
        <v>265</v>
      </c>
      <c r="M29" s="2">
        <v>27</v>
      </c>
      <c r="N29" s="2">
        <v>29</v>
      </c>
      <c r="P29" t="s">
        <v>266</v>
      </c>
    </row>
    <row r="30" spans="1:16">
      <c r="A30" s="2">
        <v>29</v>
      </c>
      <c r="B30" s="17">
        <v>114028</v>
      </c>
      <c r="C30" t="s">
        <v>142</v>
      </c>
      <c r="D30" t="s">
        <v>155</v>
      </c>
      <c r="E30" s="35">
        <v>31571</v>
      </c>
      <c r="F30" s="35">
        <v>1010</v>
      </c>
      <c r="G30" s="35">
        <v>743</v>
      </c>
      <c r="H30" s="2">
        <v>10</v>
      </c>
      <c r="I30" s="3">
        <v>29</v>
      </c>
      <c r="J30" s="3">
        <v>6</v>
      </c>
      <c r="K30" t="s">
        <v>267</v>
      </c>
      <c r="L30" s="61" t="s">
        <v>268</v>
      </c>
      <c r="M30" s="2">
        <v>28</v>
      </c>
      <c r="N30" s="2">
        <v>30</v>
      </c>
      <c r="P30" t="s">
        <v>269</v>
      </c>
    </row>
    <row r="31" spans="1:16">
      <c r="A31" s="2">
        <v>30</v>
      </c>
      <c r="B31" s="17">
        <v>114029</v>
      </c>
      <c r="C31" t="s">
        <v>142</v>
      </c>
      <c r="D31" t="s">
        <v>159</v>
      </c>
      <c r="E31" s="35">
        <v>50514</v>
      </c>
      <c r="F31" s="35">
        <v>1614</v>
      </c>
      <c r="G31" s="35">
        <v>792</v>
      </c>
      <c r="H31" s="2">
        <v>15</v>
      </c>
      <c r="I31" s="3">
        <v>30</v>
      </c>
      <c r="J31" s="3">
        <v>6</v>
      </c>
      <c r="K31" t="s">
        <v>270</v>
      </c>
      <c r="L31" s="61" t="s">
        <v>271</v>
      </c>
      <c r="M31" s="2">
        <v>29</v>
      </c>
      <c r="N31" s="2">
        <v>31</v>
      </c>
      <c r="P31" t="s">
        <v>272</v>
      </c>
    </row>
    <row r="32" spans="1:16">
      <c r="A32" s="2">
        <v>31</v>
      </c>
      <c r="B32" s="17">
        <v>114030</v>
      </c>
      <c r="C32" t="s">
        <v>162</v>
      </c>
      <c r="D32" t="s">
        <v>163</v>
      </c>
      <c r="E32" s="35">
        <v>80822</v>
      </c>
      <c r="F32" s="35">
        <v>1722</v>
      </c>
      <c r="G32" s="35">
        <v>891</v>
      </c>
      <c r="H32" s="2">
        <v>20</v>
      </c>
      <c r="I32" s="3">
        <v>31</v>
      </c>
      <c r="J32" s="3">
        <v>7</v>
      </c>
      <c r="K32" t="s">
        <v>273</v>
      </c>
      <c r="L32" s="61" t="s">
        <v>268</v>
      </c>
      <c r="M32" s="2">
        <v>30</v>
      </c>
      <c r="N32" s="2">
        <v>32</v>
      </c>
      <c r="P32" t="s">
        <v>274</v>
      </c>
    </row>
    <row r="33" spans="1:16">
      <c r="A33" s="2">
        <v>32</v>
      </c>
      <c r="B33" s="17">
        <v>114031</v>
      </c>
      <c r="C33" t="s">
        <v>162</v>
      </c>
      <c r="D33" t="s">
        <v>167</v>
      </c>
      <c r="E33" s="35">
        <v>129315</v>
      </c>
      <c r="F33" s="35">
        <v>2756</v>
      </c>
      <c r="G33" s="35">
        <v>916</v>
      </c>
      <c r="H33" s="2">
        <v>20</v>
      </c>
      <c r="I33" s="3">
        <v>32</v>
      </c>
      <c r="J33" s="3">
        <v>7</v>
      </c>
      <c r="K33" t="s">
        <v>275</v>
      </c>
      <c r="L33" s="61" t="s">
        <v>271</v>
      </c>
      <c r="M33" s="2">
        <v>31</v>
      </c>
      <c r="N33" s="2">
        <v>33</v>
      </c>
      <c r="P33" t="s">
        <v>276</v>
      </c>
    </row>
    <row r="34" spans="1:16">
      <c r="A34" s="2">
        <v>33</v>
      </c>
      <c r="B34" s="17">
        <v>114032</v>
      </c>
      <c r="C34" t="s">
        <v>162</v>
      </c>
      <c r="D34" t="s">
        <v>171</v>
      </c>
      <c r="E34" s="35">
        <v>206904</v>
      </c>
      <c r="F34" s="35">
        <v>4410</v>
      </c>
      <c r="G34" s="35">
        <v>941</v>
      </c>
      <c r="H34" s="2">
        <v>20</v>
      </c>
      <c r="I34" s="3">
        <v>33</v>
      </c>
      <c r="J34" s="3">
        <v>7</v>
      </c>
      <c r="K34" t="s">
        <v>277</v>
      </c>
      <c r="L34" s="61" t="s">
        <v>278</v>
      </c>
      <c r="M34" s="2">
        <v>32</v>
      </c>
      <c r="N34" s="2">
        <v>34</v>
      </c>
      <c r="P34" t="s">
        <v>279</v>
      </c>
    </row>
    <row r="35" spans="1:16">
      <c r="A35" s="2">
        <v>34</v>
      </c>
      <c r="B35" s="17">
        <v>114033</v>
      </c>
      <c r="C35" t="s">
        <v>162</v>
      </c>
      <c r="D35" t="s">
        <v>175</v>
      </c>
      <c r="E35" s="35">
        <v>331046</v>
      </c>
      <c r="F35" s="35">
        <v>7055</v>
      </c>
      <c r="G35" s="35">
        <v>966</v>
      </c>
      <c r="H35" s="2">
        <v>21</v>
      </c>
      <c r="I35" s="3">
        <v>34</v>
      </c>
      <c r="J35" s="3">
        <v>7</v>
      </c>
      <c r="K35" t="s">
        <v>280</v>
      </c>
      <c r="L35" s="61" t="s">
        <v>259</v>
      </c>
      <c r="M35" s="2">
        <v>33</v>
      </c>
      <c r="N35" s="2">
        <v>35</v>
      </c>
      <c r="P35" t="s">
        <v>281</v>
      </c>
    </row>
    <row r="36" spans="1:16">
      <c r="A36" s="2">
        <v>35</v>
      </c>
      <c r="B36" s="17">
        <v>114034</v>
      </c>
      <c r="C36" t="s">
        <v>162</v>
      </c>
      <c r="D36" t="s">
        <v>179</v>
      </c>
      <c r="E36" s="35">
        <v>529674</v>
      </c>
      <c r="F36" s="35">
        <v>9030</v>
      </c>
      <c r="G36" s="35">
        <v>990</v>
      </c>
      <c r="H36" s="2">
        <v>23</v>
      </c>
      <c r="I36" s="3">
        <v>35</v>
      </c>
      <c r="J36" s="3">
        <v>7</v>
      </c>
      <c r="K36" t="s">
        <v>282</v>
      </c>
      <c r="L36" s="61" t="s">
        <v>262</v>
      </c>
      <c r="M36" s="2">
        <v>34</v>
      </c>
      <c r="N36" s="2">
        <v>-1</v>
      </c>
      <c r="P36" t="s">
        <v>283</v>
      </c>
    </row>
  </sheetData>
  <phoneticPr fontId="1" type="noConversion"/>
  <pageMargins left="0.7" right="0.7" top="0.75" bottom="0.75" header="0.3" footer="0.3"/>
  <pageSetup paperSize="9" orientation="portrait" horizont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2"/>
  <sheetViews>
    <sheetView topLeftCell="G3" zoomScaleNormal="100" workbookViewId="0">
      <selection activeCell="M31" sqref="M31"/>
    </sheetView>
  </sheetViews>
  <sheetFormatPr defaultRowHeight="17.399999999999999"/>
  <cols>
    <col min="3" max="3" width="8.09765625" style="17" bestFit="1" customWidth="1"/>
    <col min="4" max="4" width="10.19921875" bestFit="1" customWidth="1"/>
    <col min="5" max="5" width="10.19921875" customWidth="1"/>
    <col min="6" max="6" width="9.59765625" customWidth="1"/>
    <col min="7" max="7" width="20" customWidth="1"/>
    <col min="8" max="8" width="31.59765625" customWidth="1"/>
    <col min="9" max="9" width="8.19921875" bestFit="1" customWidth="1"/>
    <col min="10" max="10" width="13.5" bestFit="1" customWidth="1"/>
    <col min="11" max="11" width="10.3984375" bestFit="1" customWidth="1"/>
    <col min="12" max="12" width="12.19921875" customWidth="1"/>
    <col min="13" max="13" width="14.8984375" customWidth="1"/>
    <col min="14" max="14" width="11.8984375" bestFit="1" customWidth="1"/>
    <col min="15" max="15" width="11.09765625" customWidth="1"/>
    <col min="16" max="16" width="18.8984375" customWidth="1"/>
    <col min="17" max="17" width="17.69921875" customWidth="1"/>
    <col min="18" max="18" width="13.3984375" bestFit="1" customWidth="1"/>
    <col min="19" max="21" width="13.3984375" customWidth="1"/>
    <col min="22" max="22" width="13.5" bestFit="1" customWidth="1"/>
    <col min="23" max="23" width="47.19921875" bestFit="1" customWidth="1"/>
  </cols>
  <sheetData>
    <row r="1" spans="1:23" ht="17.55" customHeight="1" thickBot="1">
      <c r="A1" s="1" t="s">
        <v>0</v>
      </c>
      <c r="B1" s="1" t="s">
        <v>284</v>
      </c>
      <c r="C1" s="1" t="s">
        <v>28</v>
      </c>
      <c r="D1" s="1" t="s">
        <v>29</v>
      </c>
      <c r="E1" s="1" t="s">
        <v>30</v>
      </c>
      <c r="F1" s="11" t="s">
        <v>285</v>
      </c>
      <c r="G1" s="11" t="s">
        <v>286</v>
      </c>
      <c r="H1" s="11" t="s">
        <v>287</v>
      </c>
      <c r="I1" s="11" t="s">
        <v>288</v>
      </c>
      <c r="J1" s="11" t="s">
        <v>289</v>
      </c>
      <c r="K1" s="11" t="s">
        <v>290</v>
      </c>
      <c r="L1" s="11" t="s">
        <v>291</v>
      </c>
      <c r="M1" s="11" t="s">
        <v>292</v>
      </c>
      <c r="N1" s="11" t="s">
        <v>293</v>
      </c>
      <c r="O1" s="1" t="s">
        <v>35</v>
      </c>
      <c r="P1" s="1" t="s">
        <v>36</v>
      </c>
      <c r="Q1" s="1" t="s">
        <v>37</v>
      </c>
      <c r="R1" s="11" t="s">
        <v>294</v>
      </c>
      <c r="S1" s="11" t="s">
        <v>39</v>
      </c>
      <c r="T1" s="11" t="s">
        <v>40</v>
      </c>
      <c r="U1" s="18"/>
      <c r="V1" s="1" t="s">
        <v>41</v>
      </c>
      <c r="W1" s="11" t="s">
        <v>295</v>
      </c>
    </row>
    <row r="2" spans="1:23">
      <c r="A2" s="40">
        <v>1</v>
      </c>
      <c r="B2" s="41" t="s">
        <v>296</v>
      </c>
      <c r="C2" s="57">
        <v>115002</v>
      </c>
      <c r="D2" s="28" t="s">
        <v>42</v>
      </c>
      <c r="E2" s="41" t="s">
        <v>43</v>
      </c>
      <c r="F2" s="41">
        <v>11</v>
      </c>
      <c r="G2" s="41" t="s">
        <v>297</v>
      </c>
      <c r="H2" s="43" t="s">
        <v>298</v>
      </c>
      <c r="I2" s="41">
        <v>1</v>
      </c>
      <c r="J2" s="41">
        <v>2</v>
      </c>
      <c r="K2" s="41" t="s">
        <v>299</v>
      </c>
      <c r="L2" s="41" t="b">
        <v>0</v>
      </c>
      <c r="M2" s="41" t="s">
        <v>300</v>
      </c>
      <c r="N2" s="3" t="s">
        <v>301</v>
      </c>
      <c r="O2" s="3">
        <v>3</v>
      </c>
      <c r="P2" s="3">
        <v>8</v>
      </c>
      <c r="Q2" s="3" t="s">
        <v>301</v>
      </c>
      <c r="R2" s="58">
        <v>116002</v>
      </c>
      <c r="S2" s="3">
        <v>-1</v>
      </c>
      <c r="T2" s="3">
        <v>2</v>
      </c>
      <c r="U2" s="59" t="s">
        <v>302</v>
      </c>
      <c r="V2" s="3" t="s">
        <v>303</v>
      </c>
      <c r="W2" s="19" t="s">
        <v>304</v>
      </c>
    </row>
    <row r="3" spans="1:23">
      <c r="A3" s="40">
        <v>2</v>
      </c>
      <c r="B3" s="41" t="s">
        <v>305</v>
      </c>
      <c r="C3" s="57">
        <v>115000</v>
      </c>
      <c r="D3" s="28" t="s">
        <v>42</v>
      </c>
      <c r="E3" s="41" t="s">
        <v>43</v>
      </c>
      <c r="F3" s="41">
        <v>10</v>
      </c>
      <c r="G3" s="41" t="s">
        <v>306</v>
      </c>
      <c r="H3" s="42" t="s">
        <v>307</v>
      </c>
      <c r="I3" s="41">
        <v>1</v>
      </c>
      <c r="J3" s="41">
        <v>17</v>
      </c>
      <c r="K3" s="41" t="s">
        <v>299</v>
      </c>
      <c r="L3" s="41" t="b">
        <v>0</v>
      </c>
      <c r="M3" s="41" t="s">
        <v>308</v>
      </c>
      <c r="N3" s="3" t="s">
        <v>309</v>
      </c>
      <c r="O3" s="3">
        <v>1</v>
      </c>
      <c r="P3" s="3">
        <v>8</v>
      </c>
      <c r="Q3" s="3" t="s">
        <v>309</v>
      </c>
      <c r="R3" s="58">
        <v>116000</v>
      </c>
      <c r="S3" s="3">
        <v>1</v>
      </c>
      <c r="T3" s="3">
        <v>3</v>
      </c>
      <c r="U3" s="3" t="s">
        <v>310</v>
      </c>
      <c r="V3" s="3" t="s">
        <v>311</v>
      </c>
      <c r="W3" s="19" t="s">
        <v>312</v>
      </c>
    </row>
    <row r="4" spans="1:23">
      <c r="A4" s="40">
        <v>3</v>
      </c>
      <c r="B4" s="41" t="s">
        <v>313</v>
      </c>
      <c r="C4" s="57">
        <v>115001</v>
      </c>
      <c r="D4" s="28" t="s">
        <v>42</v>
      </c>
      <c r="E4" s="41" t="s">
        <v>43</v>
      </c>
      <c r="F4" s="41">
        <v>18</v>
      </c>
      <c r="G4" s="41" t="s">
        <v>314</v>
      </c>
      <c r="H4" s="43" t="s">
        <v>315</v>
      </c>
      <c r="I4" s="41">
        <v>2</v>
      </c>
      <c r="J4" s="41">
        <v>4</v>
      </c>
      <c r="K4" s="41" t="s">
        <v>299</v>
      </c>
      <c r="L4" s="41" t="b">
        <v>0</v>
      </c>
      <c r="M4" s="41" t="s">
        <v>308</v>
      </c>
      <c r="N4" s="3" t="s">
        <v>316</v>
      </c>
      <c r="O4" s="3">
        <v>2</v>
      </c>
      <c r="P4" s="3">
        <v>8</v>
      </c>
      <c r="Q4" s="3" t="s">
        <v>316</v>
      </c>
      <c r="R4" s="58">
        <v>116001</v>
      </c>
      <c r="S4" s="3">
        <v>2</v>
      </c>
      <c r="T4" s="3">
        <v>4</v>
      </c>
      <c r="U4" s="3" t="s">
        <v>317</v>
      </c>
      <c r="V4" s="3" t="s">
        <v>318</v>
      </c>
      <c r="W4" s="19" t="s">
        <v>304</v>
      </c>
    </row>
    <row r="5" spans="1:23">
      <c r="A5" s="40">
        <v>4</v>
      </c>
      <c r="B5" s="41" t="s">
        <v>319</v>
      </c>
      <c r="C5" s="57">
        <v>115003</v>
      </c>
      <c r="D5" s="28" t="s">
        <v>42</v>
      </c>
      <c r="E5" s="41" t="s">
        <v>43</v>
      </c>
      <c r="F5" s="41">
        <v>13</v>
      </c>
      <c r="G5" s="41" t="s">
        <v>320</v>
      </c>
      <c r="H5" s="44" t="s">
        <v>321</v>
      </c>
      <c r="I5" s="41">
        <v>1</v>
      </c>
      <c r="J5" s="41">
        <v>6</v>
      </c>
      <c r="K5" s="41" t="s">
        <v>299</v>
      </c>
      <c r="L5" s="41" t="b">
        <v>0</v>
      </c>
      <c r="M5" s="41" t="s">
        <v>308</v>
      </c>
      <c r="N5" s="3" t="s">
        <v>322</v>
      </c>
      <c r="O5" s="3">
        <v>4</v>
      </c>
      <c r="P5" s="3">
        <v>8</v>
      </c>
      <c r="Q5" s="3" t="s">
        <v>322</v>
      </c>
      <c r="R5" s="58">
        <v>116003</v>
      </c>
      <c r="S5" s="3">
        <v>3</v>
      </c>
      <c r="T5" s="3">
        <v>5</v>
      </c>
      <c r="U5" s="3" t="s">
        <v>323</v>
      </c>
      <c r="V5" s="3" t="s">
        <v>324</v>
      </c>
      <c r="W5" s="19" t="s">
        <v>325</v>
      </c>
    </row>
    <row r="6" spans="1:23">
      <c r="A6" s="40">
        <v>5</v>
      </c>
      <c r="B6" s="41" t="s">
        <v>313</v>
      </c>
      <c r="C6" s="57">
        <v>115004</v>
      </c>
      <c r="D6" s="28" t="s">
        <v>62</v>
      </c>
      <c r="E6" s="41" t="s">
        <v>63</v>
      </c>
      <c r="F6" s="41">
        <v>17</v>
      </c>
      <c r="G6" s="41" t="s">
        <v>326</v>
      </c>
      <c r="H6" s="43" t="s">
        <v>327</v>
      </c>
      <c r="I6" s="41">
        <v>5</v>
      </c>
      <c r="J6" s="41">
        <v>2</v>
      </c>
      <c r="K6" s="41" t="s">
        <v>299</v>
      </c>
      <c r="L6" s="41" t="b">
        <v>0</v>
      </c>
      <c r="M6" s="41" t="s">
        <v>308</v>
      </c>
      <c r="N6" s="3" t="s">
        <v>328</v>
      </c>
      <c r="O6" s="3">
        <v>5</v>
      </c>
      <c r="P6" s="3">
        <v>9</v>
      </c>
      <c r="Q6" s="3" t="s">
        <v>328</v>
      </c>
      <c r="R6" s="58">
        <v>116004</v>
      </c>
      <c r="S6" s="3">
        <v>4</v>
      </c>
      <c r="T6" s="3">
        <v>6</v>
      </c>
      <c r="U6" s="3" t="s">
        <v>329</v>
      </c>
      <c r="V6" s="3" t="s">
        <v>318</v>
      </c>
      <c r="W6" s="19" t="s">
        <v>304</v>
      </c>
    </row>
    <row r="7" spans="1:23">
      <c r="A7" s="40">
        <v>6</v>
      </c>
      <c r="B7" s="41" t="s">
        <v>313</v>
      </c>
      <c r="C7" s="57">
        <v>115005</v>
      </c>
      <c r="D7" s="28" t="s">
        <v>62</v>
      </c>
      <c r="E7" s="41" t="s">
        <v>63</v>
      </c>
      <c r="F7" s="41">
        <v>9</v>
      </c>
      <c r="G7" s="41" t="s">
        <v>326</v>
      </c>
      <c r="H7" s="43" t="s">
        <v>330</v>
      </c>
      <c r="I7" s="41">
        <v>3</v>
      </c>
      <c r="J7" s="41">
        <v>2</v>
      </c>
      <c r="K7" s="41" t="s">
        <v>299</v>
      </c>
      <c r="L7" s="41" t="b">
        <v>0</v>
      </c>
      <c r="M7" s="41" t="s">
        <v>308</v>
      </c>
      <c r="N7" s="3" t="s">
        <v>331</v>
      </c>
      <c r="O7" s="3">
        <v>6</v>
      </c>
      <c r="P7" s="3">
        <v>9</v>
      </c>
      <c r="Q7" s="3" t="s">
        <v>331</v>
      </c>
      <c r="R7" s="58">
        <v>116005</v>
      </c>
      <c r="S7" s="3">
        <v>5</v>
      </c>
      <c r="T7" s="3">
        <v>7</v>
      </c>
      <c r="U7" s="3" t="s">
        <v>332</v>
      </c>
      <c r="V7" s="3" t="s">
        <v>318</v>
      </c>
      <c r="W7" s="19" t="s">
        <v>304</v>
      </c>
    </row>
    <row r="8" spans="1:23">
      <c r="A8" s="40">
        <v>7</v>
      </c>
      <c r="B8" s="41" t="s">
        <v>333</v>
      </c>
      <c r="C8" s="57">
        <v>115006</v>
      </c>
      <c r="D8" s="28" t="s">
        <v>62</v>
      </c>
      <c r="E8" s="41" t="s">
        <v>63</v>
      </c>
      <c r="F8" s="41">
        <v>9</v>
      </c>
      <c r="G8" s="41" t="s">
        <v>334</v>
      </c>
      <c r="H8" s="42" t="s">
        <v>335</v>
      </c>
      <c r="I8" s="41">
        <v>1</v>
      </c>
      <c r="J8" s="41">
        <v>8</v>
      </c>
      <c r="K8" s="41" t="s">
        <v>299</v>
      </c>
      <c r="L8" s="41" t="b">
        <v>1</v>
      </c>
      <c r="M8" s="41" t="s">
        <v>308</v>
      </c>
      <c r="N8" s="3" t="s">
        <v>336</v>
      </c>
      <c r="O8" s="3">
        <v>7</v>
      </c>
      <c r="P8" s="3">
        <v>9</v>
      </c>
      <c r="Q8" s="3" t="s">
        <v>336</v>
      </c>
      <c r="R8" s="58">
        <v>116006</v>
      </c>
      <c r="S8" s="3">
        <v>6</v>
      </c>
      <c r="T8" s="3">
        <v>8</v>
      </c>
      <c r="U8" s="3" t="s">
        <v>337</v>
      </c>
      <c r="V8" s="3" t="s">
        <v>338</v>
      </c>
      <c r="W8" s="45" t="s">
        <v>339</v>
      </c>
    </row>
    <row r="9" spans="1:23">
      <c r="A9" s="40">
        <v>8</v>
      </c>
      <c r="B9" s="41" t="s">
        <v>340</v>
      </c>
      <c r="C9" s="57">
        <v>115007</v>
      </c>
      <c r="D9" s="28" t="s">
        <v>62</v>
      </c>
      <c r="E9" s="41" t="s">
        <v>63</v>
      </c>
      <c r="F9" s="41">
        <v>21</v>
      </c>
      <c r="G9" s="41" t="s">
        <v>326</v>
      </c>
      <c r="H9" s="46" t="s">
        <v>341</v>
      </c>
      <c r="I9" s="41">
        <v>1</v>
      </c>
      <c r="J9" s="41">
        <v>56</v>
      </c>
      <c r="K9" s="41" t="s">
        <v>299</v>
      </c>
      <c r="L9" s="41" t="b">
        <v>1</v>
      </c>
      <c r="M9" s="41" t="s">
        <v>342</v>
      </c>
      <c r="N9" s="3" t="s">
        <v>343</v>
      </c>
      <c r="O9" s="3">
        <v>8</v>
      </c>
      <c r="P9" s="3">
        <v>9</v>
      </c>
      <c r="Q9" s="3" t="s">
        <v>343</v>
      </c>
      <c r="R9" s="58">
        <v>116007</v>
      </c>
      <c r="S9" s="3">
        <v>7</v>
      </c>
      <c r="T9" s="3">
        <v>9</v>
      </c>
      <c r="U9" s="3" t="s">
        <v>344</v>
      </c>
      <c r="V9" s="3" t="s">
        <v>345</v>
      </c>
      <c r="W9" s="19" t="s">
        <v>312</v>
      </c>
    </row>
    <row r="10" spans="1:23" ht="17.25" customHeight="1">
      <c r="A10" s="40">
        <v>9</v>
      </c>
      <c r="B10" s="41" t="s">
        <v>305</v>
      </c>
      <c r="C10" s="57">
        <v>115008</v>
      </c>
      <c r="D10" s="28" t="s">
        <v>82</v>
      </c>
      <c r="E10" s="41" t="s">
        <v>83</v>
      </c>
      <c r="F10" s="41">
        <v>7</v>
      </c>
      <c r="G10" s="41" t="s">
        <v>306</v>
      </c>
      <c r="H10" s="42" t="s">
        <v>346</v>
      </c>
      <c r="I10" s="41">
        <v>1</v>
      </c>
      <c r="J10" s="41">
        <v>22</v>
      </c>
      <c r="K10" s="41" t="s">
        <v>299</v>
      </c>
      <c r="L10" s="41" t="b">
        <v>0</v>
      </c>
      <c r="M10" s="41" t="s">
        <v>308</v>
      </c>
      <c r="N10" s="3" t="s">
        <v>347</v>
      </c>
      <c r="O10" s="3">
        <v>9</v>
      </c>
      <c r="P10" s="3">
        <v>10</v>
      </c>
      <c r="Q10" s="3" t="s">
        <v>347</v>
      </c>
      <c r="R10" s="58">
        <v>116008</v>
      </c>
      <c r="S10" s="3">
        <v>8</v>
      </c>
      <c r="T10" s="3">
        <v>10</v>
      </c>
      <c r="U10" s="3" t="s">
        <v>348</v>
      </c>
      <c r="V10" s="3" t="s">
        <v>311</v>
      </c>
      <c r="W10" s="19" t="s">
        <v>312</v>
      </c>
    </row>
    <row r="11" spans="1:23">
      <c r="A11" s="40">
        <v>10</v>
      </c>
      <c r="B11" s="41" t="s">
        <v>349</v>
      </c>
      <c r="C11" s="57">
        <v>115009</v>
      </c>
      <c r="D11" s="28" t="s">
        <v>82</v>
      </c>
      <c r="E11" s="41" t="s">
        <v>83</v>
      </c>
      <c r="F11" s="41">
        <v>15</v>
      </c>
      <c r="G11" s="41" t="s">
        <v>326</v>
      </c>
      <c r="H11" s="44" t="s">
        <v>350</v>
      </c>
      <c r="I11" s="41">
        <v>1</v>
      </c>
      <c r="J11" s="41">
        <v>19</v>
      </c>
      <c r="K11" s="41" t="s">
        <v>299</v>
      </c>
      <c r="L11" s="41" t="b">
        <v>1</v>
      </c>
      <c r="M11" s="41" t="s">
        <v>308</v>
      </c>
      <c r="N11" s="3" t="s">
        <v>351</v>
      </c>
      <c r="O11" s="3">
        <v>10</v>
      </c>
      <c r="P11" s="3">
        <v>10</v>
      </c>
      <c r="Q11" s="3" t="s">
        <v>351</v>
      </c>
      <c r="R11" s="58">
        <v>116009</v>
      </c>
      <c r="S11" s="3">
        <v>9</v>
      </c>
      <c r="T11" s="3">
        <v>11</v>
      </c>
      <c r="U11" s="3" t="s">
        <v>352</v>
      </c>
      <c r="V11" s="3" t="s">
        <v>353</v>
      </c>
      <c r="W11" s="19" t="s">
        <v>325</v>
      </c>
    </row>
    <row r="12" spans="1:23">
      <c r="A12" s="40">
        <v>11</v>
      </c>
      <c r="B12" s="41" t="s">
        <v>354</v>
      </c>
      <c r="C12" s="57">
        <v>115010</v>
      </c>
      <c r="D12" s="28" t="s">
        <v>82</v>
      </c>
      <c r="E12" s="41" t="s">
        <v>83</v>
      </c>
      <c r="F12" s="41">
        <v>9</v>
      </c>
      <c r="G12" s="41" t="s">
        <v>355</v>
      </c>
      <c r="H12" s="43" t="s">
        <v>356</v>
      </c>
      <c r="I12" s="41">
        <v>1</v>
      </c>
      <c r="J12" s="41">
        <v>2</v>
      </c>
      <c r="K12" s="41" t="s">
        <v>299</v>
      </c>
      <c r="L12" s="41" t="b">
        <v>0</v>
      </c>
      <c r="M12" s="41" t="s">
        <v>357</v>
      </c>
      <c r="N12" s="3" t="s">
        <v>358</v>
      </c>
      <c r="O12" s="3">
        <v>11</v>
      </c>
      <c r="P12" s="3">
        <v>10</v>
      </c>
      <c r="Q12" s="3" t="s">
        <v>358</v>
      </c>
      <c r="R12" s="58">
        <v>116010</v>
      </c>
      <c r="S12" s="3">
        <v>10</v>
      </c>
      <c r="T12" s="3">
        <v>12</v>
      </c>
      <c r="U12" s="3" t="s">
        <v>359</v>
      </c>
      <c r="V12" s="3" t="s">
        <v>360</v>
      </c>
      <c r="W12" s="19" t="s">
        <v>304</v>
      </c>
    </row>
    <row r="13" spans="1:23">
      <c r="A13" s="40">
        <v>12</v>
      </c>
      <c r="B13" s="41" t="s">
        <v>361</v>
      </c>
      <c r="C13" s="57">
        <v>115011</v>
      </c>
      <c r="D13" s="28" t="s">
        <v>82</v>
      </c>
      <c r="E13" s="41" t="s">
        <v>83</v>
      </c>
      <c r="F13" s="41">
        <v>15</v>
      </c>
      <c r="G13" s="41" t="s">
        <v>362</v>
      </c>
      <c r="H13" s="43" t="s">
        <v>363</v>
      </c>
      <c r="I13" s="41">
        <v>1</v>
      </c>
      <c r="J13" s="41">
        <v>6</v>
      </c>
      <c r="K13" s="41" t="s">
        <v>299</v>
      </c>
      <c r="L13" s="41" t="b">
        <v>0</v>
      </c>
      <c r="M13" s="41" t="s">
        <v>364</v>
      </c>
      <c r="N13" s="3" t="s">
        <v>365</v>
      </c>
      <c r="O13" s="3">
        <v>12</v>
      </c>
      <c r="P13" s="3">
        <v>10</v>
      </c>
      <c r="Q13" s="3" t="s">
        <v>365</v>
      </c>
      <c r="R13" s="58">
        <v>116011</v>
      </c>
      <c r="S13" s="3">
        <v>11</v>
      </c>
      <c r="T13" s="3">
        <v>13</v>
      </c>
      <c r="U13" s="3" t="s">
        <v>366</v>
      </c>
      <c r="V13" s="3" t="s">
        <v>367</v>
      </c>
      <c r="W13" s="19" t="s">
        <v>304</v>
      </c>
    </row>
    <row r="14" spans="1:23">
      <c r="A14" s="40">
        <v>13</v>
      </c>
      <c r="B14" s="41" t="s">
        <v>313</v>
      </c>
      <c r="C14" s="57">
        <v>115012</v>
      </c>
      <c r="D14" s="28" t="s">
        <v>102</v>
      </c>
      <c r="E14" s="41" t="s">
        <v>103</v>
      </c>
      <c r="F14" s="41">
        <v>16</v>
      </c>
      <c r="G14" s="41" t="s">
        <v>326</v>
      </c>
      <c r="H14" s="43" t="s">
        <v>368</v>
      </c>
      <c r="I14" s="41">
        <v>6</v>
      </c>
      <c r="J14" s="41">
        <v>3</v>
      </c>
      <c r="K14" s="41" t="s">
        <v>299</v>
      </c>
      <c r="L14" s="41" t="b">
        <v>0</v>
      </c>
      <c r="M14" s="41" t="s">
        <v>308</v>
      </c>
      <c r="N14" s="3" t="s">
        <v>369</v>
      </c>
      <c r="O14" s="3">
        <v>13</v>
      </c>
      <c r="P14" s="3">
        <v>11</v>
      </c>
      <c r="Q14" s="3" t="s">
        <v>369</v>
      </c>
      <c r="R14" s="58">
        <v>116012</v>
      </c>
      <c r="S14" s="3">
        <v>12</v>
      </c>
      <c r="T14" s="3">
        <v>14</v>
      </c>
      <c r="U14" s="3" t="s">
        <v>370</v>
      </c>
      <c r="V14" s="3" t="s">
        <v>318</v>
      </c>
      <c r="W14" s="19" t="s">
        <v>304</v>
      </c>
    </row>
    <row r="15" spans="1:23">
      <c r="A15" s="40">
        <v>14</v>
      </c>
      <c r="B15" s="41" t="s">
        <v>296</v>
      </c>
      <c r="C15" s="57">
        <v>115013</v>
      </c>
      <c r="D15" s="28" t="s">
        <v>102</v>
      </c>
      <c r="E15" s="41" t="s">
        <v>103</v>
      </c>
      <c r="F15" s="41">
        <v>11</v>
      </c>
      <c r="G15" s="41" t="s">
        <v>297</v>
      </c>
      <c r="H15" s="43" t="s">
        <v>371</v>
      </c>
      <c r="I15" s="41">
        <v>2</v>
      </c>
      <c r="J15" s="41">
        <v>4</v>
      </c>
      <c r="K15" s="41" t="s">
        <v>299</v>
      </c>
      <c r="L15" s="41" t="b">
        <v>0</v>
      </c>
      <c r="M15" s="41" t="s">
        <v>300</v>
      </c>
      <c r="N15" s="3" t="s">
        <v>372</v>
      </c>
      <c r="O15" s="3">
        <v>14</v>
      </c>
      <c r="P15" s="3">
        <v>11</v>
      </c>
      <c r="Q15" s="3" t="s">
        <v>372</v>
      </c>
      <c r="R15" s="58">
        <v>116013</v>
      </c>
      <c r="S15" s="3">
        <v>13</v>
      </c>
      <c r="T15" s="3">
        <v>15</v>
      </c>
      <c r="U15" s="59" t="s">
        <v>373</v>
      </c>
      <c r="V15" s="3" t="s">
        <v>303</v>
      </c>
      <c r="W15" s="19" t="s">
        <v>304</v>
      </c>
    </row>
    <row r="16" spans="1:23">
      <c r="A16" s="40">
        <v>15</v>
      </c>
      <c r="B16" s="41" t="s">
        <v>319</v>
      </c>
      <c r="C16" s="57">
        <v>115014</v>
      </c>
      <c r="D16" s="28" t="s">
        <v>102</v>
      </c>
      <c r="E16" s="41" t="s">
        <v>103</v>
      </c>
      <c r="F16" s="41">
        <v>14</v>
      </c>
      <c r="G16" s="41" t="s">
        <v>320</v>
      </c>
      <c r="H16" s="44" t="s">
        <v>374</v>
      </c>
      <c r="I16" s="41">
        <v>1</v>
      </c>
      <c r="J16" s="41">
        <v>28</v>
      </c>
      <c r="K16" s="41" t="s">
        <v>299</v>
      </c>
      <c r="L16" s="41" t="b">
        <v>0</v>
      </c>
      <c r="M16" s="41" t="s">
        <v>300</v>
      </c>
      <c r="N16" s="3" t="s">
        <v>375</v>
      </c>
      <c r="O16" s="3">
        <v>15</v>
      </c>
      <c r="P16" s="3">
        <v>11</v>
      </c>
      <c r="Q16" s="3" t="s">
        <v>375</v>
      </c>
      <c r="R16" s="58">
        <v>116014</v>
      </c>
      <c r="S16" s="3">
        <v>14</v>
      </c>
      <c r="T16" s="3">
        <v>16</v>
      </c>
      <c r="U16" s="3" t="s">
        <v>376</v>
      </c>
      <c r="V16" s="3" t="s">
        <v>324</v>
      </c>
      <c r="W16" s="19" t="s">
        <v>325</v>
      </c>
    </row>
    <row r="17" spans="1:23">
      <c r="A17" s="40">
        <v>16</v>
      </c>
      <c r="B17" s="41" t="s">
        <v>377</v>
      </c>
      <c r="C17" s="57">
        <v>115015</v>
      </c>
      <c r="D17" s="28" t="s">
        <v>102</v>
      </c>
      <c r="E17" s="41" t="s">
        <v>103</v>
      </c>
      <c r="F17" s="41">
        <v>20</v>
      </c>
      <c r="G17" s="41" t="s">
        <v>378</v>
      </c>
      <c r="H17" s="43" t="s">
        <v>379</v>
      </c>
      <c r="I17" s="41">
        <v>1.5</v>
      </c>
      <c r="J17" s="41">
        <v>14</v>
      </c>
      <c r="K17" s="41" t="s">
        <v>299</v>
      </c>
      <c r="L17" s="41" t="b">
        <v>0</v>
      </c>
      <c r="M17" s="41" t="s">
        <v>300</v>
      </c>
      <c r="N17" s="3" t="s">
        <v>380</v>
      </c>
      <c r="O17" s="3">
        <v>16</v>
      </c>
      <c r="P17" s="3">
        <v>11</v>
      </c>
      <c r="Q17" s="3" t="s">
        <v>380</v>
      </c>
      <c r="R17" s="58">
        <v>116015</v>
      </c>
      <c r="S17" s="3">
        <v>15</v>
      </c>
      <c r="T17" s="3">
        <v>17</v>
      </c>
      <c r="U17" s="3" t="s">
        <v>381</v>
      </c>
      <c r="V17" s="3" t="s">
        <v>382</v>
      </c>
      <c r="W17" s="19" t="s">
        <v>304</v>
      </c>
    </row>
    <row r="18" spans="1:23">
      <c r="A18" s="40">
        <v>17</v>
      </c>
      <c r="B18" s="41" t="s">
        <v>383</v>
      </c>
      <c r="C18" s="57">
        <v>115016</v>
      </c>
      <c r="D18" s="28" t="s">
        <v>122</v>
      </c>
      <c r="E18" s="41" t="s">
        <v>123</v>
      </c>
      <c r="F18" s="41">
        <v>28</v>
      </c>
      <c r="G18" s="41" t="s">
        <v>384</v>
      </c>
      <c r="H18" s="46" t="s">
        <v>385</v>
      </c>
      <c r="I18" s="41">
        <v>1</v>
      </c>
      <c r="J18" s="41">
        <v>190</v>
      </c>
      <c r="K18" s="41" t="s">
        <v>299</v>
      </c>
      <c r="L18" s="41" t="b">
        <v>0</v>
      </c>
      <c r="M18" s="41" t="s">
        <v>308</v>
      </c>
      <c r="N18" s="3" t="s">
        <v>386</v>
      </c>
      <c r="O18" s="3">
        <v>17</v>
      </c>
      <c r="P18" s="3">
        <v>12</v>
      </c>
      <c r="Q18" s="3" t="s">
        <v>386</v>
      </c>
      <c r="R18" s="58">
        <v>116016</v>
      </c>
      <c r="S18" s="3">
        <v>16</v>
      </c>
      <c r="T18" s="3">
        <v>18</v>
      </c>
      <c r="U18" s="3" t="s">
        <v>387</v>
      </c>
      <c r="V18" s="3" t="s">
        <v>388</v>
      </c>
      <c r="W18" s="19" t="s">
        <v>312</v>
      </c>
    </row>
    <row r="19" spans="1:23">
      <c r="A19" s="40">
        <v>18</v>
      </c>
      <c r="B19" s="41" t="s">
        <v>349</v>
      </c>
      <c r="C19" s="57">
        <v>115017</v>
      </c>
      <c r="D19" s="28" t="s">
        <v>122</v>
      </c>
      <c r="E19" s="41" t="s">
        <v>123</v>
      </c>
      <c r="F19" s="41">
        <v>17</v>
      </c>
      <c r="G19" s="41" t="s">
        <v>326</v>
      </c>
      <c r="H19" s="44" t="s">
        <v>389</v>
      </c>
      <c r="I19" s="41">
        <v>1</v>
      </c>
      <c r="J19" s="41">
        <v>82</v>
      </c>
      <c r="K19" s="41" t="s">
        <v>299</v>
      </c>
      <c r="L19" s="41" t="b">
        <v>1</v>
      </c>
      <c r="M19" s="41" t="s">
        <v>308</v>
      </c>
      <c r="N19" s="3" t="s">
        <v>390</v>
      </c>
      <c r="O19" s="3">
        <v>18</v>
      </c>
      <c r="P19" s="3">
        <v>12</v>
      </c>
      <c r="Q19" s="3" t="s">
        <v>390</v>
      </c>
      <c r="R19" s="58">
        <v>116017</v>
      </c>
      <c r="S19" s="3">
        <v>17</v>
      </c>
      <c r="T19" s="47">
        <v>19</v>
      </c>
      <c r="U19" s="3" t="s">
        <v>391</v>
      </c>
      <c r="V19" s="3" t="s">
        <v>353</v>
      </c>
      <c r="W19" s="19" t="s">
        <v>325</v>
      </c>
    </row>
    <row r="20" spans="1:23">
      <c r="A20" s="40">
        <v>19</v>
      </c>
      <c r="B20" s="41" t="s">
        <v>392</v>
      </c>
      <c r="C20" s="57">
        <v>115018</v>
      </c>
      <c r="D20" s="28" t="s">
        <v>122</v>
      </c>
      <c r="E20" s="28" t="s">
        <v>123</v>
      </c>
      <c r="F20" s="41">
        <v>11</v>
      </c>
      <c r="G20" s="41" t="s">
        <v>314</v>
      </c>
      <c r="H20" s="43" t="s">
        <v>393</v>
      </c>
      <c r="I20" s="41">
        <v>5.5</v>
      </c>
      <c r="J20" s="41">
        <v>4</v>
      </c>
      <c r="K20" s="41" t="s">
        <v>299</v>
      </c>
      <c r="L20" s="41" t="b">
        <v>1</v>
      </c>
      <c r="M20" s="41" t="s">
        <v>308</v>
      </c>
      <c r="N20" s="3" t="s">
        <v>394</v>
      </c>
      <c r="O20" s="3">
        <v>19</v>
      </c>
      <c r="P20" s="3">
        <v>12</v>
      </c>
      <c r="Q20" s="3" t="s">
        <v>394</v>
      </c>
      <c r="R20" s="58">
        <v>116018</v>
      </c>
      <c r="S20" s="47">
        <v>18</v>
      </c>
      <c r="T20" s="47">
        <v>20</v>
      </c>
      <c r="U20" s="3" t="s">
        <v>395</v>
      </c>
      <c r="V20" s="3" t="s">
        <v>396</v>
      </c>
      <c r="W20" s="19" t="s">
        <v>304</v>
      </c>
    </row>
    <row r="21" spans="1:23">
      <c r="A21" s="40">
        <v>20</v>
      </c>
      <c r="B21" s="41" t="s">
        <v>397</v>
      </c>
      <c r="C21" s="57">
        <v>115019</v>
      </c>
      <c r="D21" s="28" t="s">
        <v>122</v>
      </c>
      <c r="E21" s="28" t="s">
        <v>123</v>
      </c>
      <c r="F21" s="41">
        <v>12</v>
      </c>
      <c r="G21" s="28" t="s">
        <v>398</v>
      </c>
      <c r="H21" s="46" t="s">
        <v>399</v>
      </c>
      <c r="I21" s="28">
        <v>2</v>
      </c>
      <c r="J21" s="41">
        <v>89</v>
      </c>
      <c r="K21" s="41" t="s">
        <v>299</v>
      </c>
      <c r="L21" s="41" t="b">
        <v>1</v>
      </c>
      <c r="M21" s="41" t="s">
        <v>300</v>
      </c>
      <c r="N21" s="3" t="s">
        <v>400</v>
      </c>
      <c r="O21" s="3">
        <v>20</v>
      </c>
      <c r="P21" s="3">
        <v>12</v>
      </c>
      <c r="Q21" s="3" t="s">
        <v>400</v>
      </c>
      <c r="R21" s="58">
        <v>116019</v>
      </c>
      <c r="S21">
        <v>19</v>
      </c>
      <c r="T21">
        <v>21</v>
      </c>
      <c r="U21" s="3" t="s">
        <v>401</v>
      </c>
      <c r="V21" t="s">
        <v>402</v>
      </c>
      <c r="W21" s="45" t="s">
        <v>312</v>
      </c>
    </row>
    <row r="22" spans="1:23">
      <c r="A22" s="40">
        <v>21</v>
      </c>
      <c r="B22" s="41" t="s">
        <v>305</v>
      </c>
      <c r="C22" s="57">
        <v>115020</v>
      </c>
      <c r="D22" s="28" t="s">
        <v>142</v>
      </c>
      <c r="E22" s="28" t="s">
        <v>143</v>
      </c>
      <c r="F22" s="28">
        <v>9</v>
      </c>
      <c r="G22" s="28" t="s">
        <v>403</v>
      </c>
      <c r="H22" s="42" t="s">
        <v>404</v>
      </c>
      <c r="I22" s="28">
        <v>1</v>
      </c>
      <c r="J22" s="41">
        <v>112</v>
      </c>
      <c r="K22" s="41" t="s">
        <v>299</v>
      </c>
      <c r="L22" s="41" t="b">
        <v>0</v>
      </c>
      <c r="M22" s="41" t="s">
        <v>308</v>
      </c>
      <c r="N22" s="3" t="s">
        <v>405</v>
      </c>
      <c r="O22" s="3">
        <v>21</v>
      </c>
      <c r="P22" s="3">
        <v>13</v>
      </c>
      <c r="Q22" s="3" t="s">
        <v>405</v>
      </c>
      <c r="R22" s="58">
        <v>116020</v>
      </c>
      <c r="S22">
        <v>20</v>
      </c>
      <c r="T22">
        <v>22</v>
      </c>
      <c r="U22" s="3" t="s">
        <v>406</v>
      </c>
      <c r="V22" t="s">
        <v>311</v>
      </c>
      <c r="W22" s="19" t="s">
        <v>312</v>
      </c>
    </row>
    <row r="23" spans="1:23">
      <c r="A23" s="40">
        <v>22</v>
      </c>
      <c r="B23" s="41" t="s">
        <v>354</v>
      </c>
      <c r="C23" s="57">
        <v>115021</v>
      </c>
      <c r="D23" s="28" t="s">
        <v>142</v>
      </c>
      <c r="E23" s="28" t="s">
        <v>143</v>
      </c>
      <c r="F23" s="28">
        <v>13</v>
      </c>
      <c r="G23" s="28" t="s">
        <v>355</v>
      </c>
      <c r="H23" s="43" t="s">
        <v>407</v>
      </c>
      <c r="I23" s="28">
        <v>2</v>
      </c>
      <c r="J23" s="41">
        <v>17</v>
      </c>
      <c r="K23" s="41" t="s">
        <v>299</v>
      </c>
      <c r="L23" s="41" t="b">
        <v>0</v>
      </c>
      <c r="M23" s="41" t="s">
        <v>357</v>
      </c>
      <c r="N23" s="3" t="s">
        <v>408</v>
      </c>
      <c r="O23" s="3">
        <v>22</v>
      </c>
      <c r="P23" s="3">
        <v>13</v>
      </c>
      <c r="Q23" s="3" t="s">
        <v>408</v>
      </c>
      <c r="R23" s="58">
        <v>116021</v>
      </c>
      <c r="S23">
        <v>21</v>
      </c>
      <c r="T23">
        <v>23</v>
      </c>
      <c r="U23" s="3" t="s">
        <v>409</v>
      </c>
      <c r="V23" t="s">
        <v>360</v>
      </c>
      <c r="W23" s="45" t="s">
        <v>304</v>
      </c>
    </row>
    <row r="24" spans="1:23">
      <c r="A24" s="40">
        <v>23</v>
      </c>
      <c r="B24" s="41" t="s">
        <v>410</v>
      </c>
      <c r="C24" s="57">
        <v>115022</v>
      </c>
      <c r="D24" s="28" t="s">
        <v>142</v>
      </c>
      <c r="E24" s="28" t="s">
        <v>143</v>
      </c>
      <c r="F24" s="28">
        <v>10</v>
      </c>
      <c r="G24" s="28" t="s">
        <v>326</v>
      </c>
      <c r="H24" s="48" t="s">
        <v>411</v>
      </c>
      <c r="I24" s="28">
        <v>3</v>
      </c>
      <c r="J24" s="28">
        <v>19</v>
      </c>
      <c r="K24" s="41" t="s">
        <v>299</v>
      </c>
      <c r="L24" s="28" t="b">
        <v>0</v>
      </c>
      <c r="M24" s="28" t="s">
        <v>308</v>
      </c>
      <c r="N24" s="3" t="s">
        <v>412</v>
      </c>
      <c r="O24" s="3">
        <v>23</v>
      </c>
      <c r="P24" s="3">
        <v>13</v>
      </c>
      <c r="Q24" s="3" t="s">
        <v>412</v>
      </c>
      <c r="R24" s="58">
        <v>116022</v>
      </c>
      <c r="S24">
        <v>22</v>
      </c>
      <c r="T24">
        <v>24</v>
      </c>
      <c r="U24" s="3" t="s">
        <v>413</v>
      </c>
      <c r="V24" t="s">
        <v>414</v>
      </c>
      <c r="W24" s="45" t="s">
        <v>304</v>
      </c>
    </row>
    <row r="25" spans="1:23">
      <c r="A25" s="40">
        <v>24</v>
      </c>
      <c r="B25" s="41" t="s">
        <v>340</v>
      </c>
      <c r="C25" s="57">
        <v>115023</v>
      </c>
      <c r="D25" s="28" t="s">
        <v>142</v>
      </c>
      <c r="E25" s="28" t="s">
        <v>143</v>
      </c>
      <c r="F25" s="28">
        <v>8</v>
      </c>
      <c r="G25" s="28" t="s">
        <v>326</v>
      </c>
      <c r="H25" s="49" t="s">
        <v>415</v>
      </c>
      <c r="I25" s="28">
        <v>1</v>
      </c>
      <c r="J25" s="28">
        <v>130</v>
      </c>
      <c r="K25" s="41" t="s">
        <v>299</v>
      </c>
      <c r="L25" s="28" t="b">
        <v>1</v>
      </c>
      <c r="M25" s="28" t="s">
        <v>342</v>
      </c>
      <c r="N25" s="3" t="s">
        <v>416</v>
      </c>
      <c r="O25" s="3">
        <v>24</v>
      </c>
      <c r="P25" s="3">
        <v>13</v>
      </c>
      <c r="Q25" s="3" t="s">
        <v>416</v>
      </c>
      <c r="R25" s="58">
        <v>116023</v>
      </c>
      <c r="S25">
        <v>23</v>
      </c>
      <c r="T25">
        <v>25</v>
      </c>
      <c r="U25" s="3" t="s">
        <v>417</v>
      </c>
      <c r="V25" t="s">
        <v>345</v>
      </c>
      <c r="W25" s="45" t="s">
        <v>312</v>
      </c>
    </row>
    <row r="26" spans="1:23">
      <c r="A26" s="40">
        <v>25</v>
      </c>
      <c r="B26" s="41" t="s">
        <v>361</v>
      </c>
      <c r="C26" s="57">
        <v>115024</v>
      </c>
      <c r="D26" s="28" t="s">
        <v>162</v>
      </c>
      <c r="E26" s="28" t="s">
        <v>163</v>
      </c>
      <c r="F26" s="28">
        <v>11</v>
      </c>
      <c r="G26" s="28" t="s">
        <v>418</v>
      </c>
      <c r="H26" s="48" t="s">
        <v>419</v>
      </c>
      <c r="I26" s="28">
        <v>2.5</v>
      </c>
      <c r="J26" s="28">
        <v>8</v>
      </c>
      <c r="K26" s="41" t="s">
        <v>299</v>
      </c>
      <c r="L26" s="28" t="b">
        <v>0</v>
      </c>
      <c r="M26" s="41" t="s">
        <v>364</v>
      </c>
      <c r="N26" s="3" t="s">
        <v>420</v>
      </c>
      <c r="O26" s="3">
        <v>25</v>
      </c>
      <c r="P26" s="3">
        <v>14</v>
      </c>
      <c r="Q26" s="3" t="s">
        <v>420</v>
      </c>
      <c r="R26" s="58">
        <v>116024</v>
      </c>
      <c r="S26">
        <v>24</v>
      </c>
      <c r="T26">
        <v>26</v>
      </c>
      <c r="U26" s="3" t="s">
        <v>421</v>
      </c>
      <c r="V26" t="s">
        <v>367</v>
      </c>
      <c r="W26" s="45" t="s">
        <v>304</v>
      </c>
    </row>
    <row r="27" spans="1:23">
      <c r="A27" s="40">
        <v>26</v>
      </c>
      <c r="B27" s="41" t="s">
        <v>422</v>
      </c>
      <c r="C27" s="57">
        <v>115025</v>
      </c>
      <c r="D27" s="28" t="s">
        <v>162</v>
      </c>
      <c r="E27" s="28" t="s">
        <v>163</v>
      </c>
      <c r="F27" s="28">
        <v>14</v>
      </c>
      <c r="G27" s="28" t="s">
        <v>423</v>
      </c>
      <c r="H27" s="49" t="s">
        <v>424</v>
      </c>
      <c r="I27" s="28">
        <v>0.3</v>
      </c>
      <c r="J27" s="28">
        <v>134</v>
      </c>
      <c r="K27" s="41" t="s">
        <v>299</v>
      </c>
      <c r="L27" s="28" t="b">
        <v>1</v>
      </c>
      <c r="M27" s="28" t="s">
        <v>300</v>
      </c>
      <c r="N27" s="3" t="s">
        <v>425</v>
      </c>
      <c r="O27" s="3">
        <v>26</v>
      </c>
      <c r="P27" s="3">
        <v>14</v>
      </c>
      <c r="Q27" s="3" t="s">
        <v>425</v>
      </c>
      <c r="R27" s="58">
        <v>116025</v>
      </c>
      <c r="S27">
        <v>25</v>
      </c>
      <c r="T27">
        <v>27</v>
      </c>
      <c r="U27" s="3" t="s">
        <v>426</v>
      </c>
      <c r="V27" t="s">
        <v>427</v>
      </c>
      <c r="W27" s="45" t="s">
        <v>312</v>
      </c>
    </row>
    <row r="28" spans="1:23">
      <c r="A28" s="40">
        <v>27</v>
      </c>
      <c r="B28" s="41" t="s">
        <v>333</v>
      </c>
      <c r="C28" s="57">
        <v>115026</v>
      </c>
      <c r="D28" s="28" t="s">
        <v>162</v>
      </c>
      <c r="E28" s="28" t="s">
        <v>163</v>
      </c>
      <c r="F28" s="28">
        <v>11</v>
      </c>
      <c r="G28" s="28" t="s">
        <v>428</v>
      </c>
      <c r="H28" s="50" t="s">
        <v>335</v>
      </c>
      <c r="I28" s="28">
        <v>1</v>
      </c>
      <c r="J28" s="28">
        <v>8</v>
      </c>
      <c r="K28" s="41" t="s">
        <v>299</v>
      </c>
      <c r="L28" s="28" t="b">
        <v>1</v>
      </c>
      <c r="M28" s="28" t="s">
        <v>308</v>
      </c>
      <c r="N28" s="3" t="s">
        <v>429</v>
      </c>
      <c r="O28" s="3">
        <v>27</v>
      </c>
      <c r="P28" s="3">
        <v>14</v>
      </c>
      <c r="Q28" s="3" t="s">
        <v>429</v>
      </c>
      <c r="R28" s="58">
        <v>116026</v>
      </c>
      <c r="S28">
        <v>26</v>
      </c>
      <c r="T28">
        <v>28</v>
      </c>
      <c r="U28" s="3" t="s">
        <v>430</v>
      </c>
      <c r="V28" t="s">
        <v>338</v>
      </c>
      <c r="W28" s="45" t="s">
        <v>339</v>
      </c>
    </row>
    <row r="29" spans="1:23">
      <c r="A29" s="40">
        <v>28</v>
      </c>
      <c r="B29" s="41" t="s">
        <v>377</v>
      </c>
      <c r="C29" s="57">
        <v>115027</v>
      </c>
      <c r="D29" s="28" t="s">
        <v>162</v>
      </c>
      <c r="E29" s="28" t="s">
        <v>163</v>
      </c>
      <c r="F29" s="28">
        <v>21</v>
      </c>
      <c r="G29" s="28" t="s">
        <v>378</v>
      </c>
      <c r="H29" s="48" t="s">
        <v>431</v>
      </c>
      <c r="I29" s="28">
        <v>4.5</v>
      </c>
      <c r="J29" s="28">
        <v>19</v>
      </c>
      <c r="K29" s="41" t="s">
        <v>299</v>
      </c>
      <c r="L29" s="28" t="b">
        <v>0</v>
      </c>
      <c r="M29" s="41" t="s">
        <v>300</v>
      </c>
      <c r="N29" s="3" t="s">
        <v>432</v>
      </c>
      <c r="O29" s="3">
        <v>28</v>
      </c>
      <c r="P29" s="3">
        <v>14</v>
      </c>
      <c r="Q29" s="3" t="s">
        <v>432</v>
      </c>
      <c r="R29" s="58">
        <v>116027</v>
      </c>
      <c r="S29">
        <v>27</v>
      </c>
      <c r="T29">
        <v>-1</v>
      </c>
      <c r="U29" s="3" t="s">
        <v>433</v>
      </c>
      <c r="V29" t="s">
        <v>382</v>
      </c>
      <c r="W29" s="19" t="s">
        <v>304</v>
      </c>
    </row>
    <row r="30" spans="1:23">
      <c r="A30" s="2"/>
      <c r="B30" s="2"/>
      <c r="N30" s="28"/>
      <c r="O30" s="3"/>
      <c r="P30" s="3"/>
      <c r="R30" s="3"/>
    </row>
    <row r="31" spans="1:23">
      <c r="A31" s="2"/>
      <c r="B31" s="2"/>
      <c r="O31" s="3"/>
      <c r="P31" s="3"/>
    </row>
    <row r="32" spans="1:23" ht="17.55" customHeight="1" thickBot="1">
      <c r="A32" s="2"/>
      <c r="B32" s="51"/>
      <c r="C32" s="52"/>
      <c r="D32" s="53"/>
      <c r="E32" s="53"/>
      <c r="F32" s="53"/>
      <c r="G32" s="54"/>
      <c r="I32" s="54"/>
      <c r="O32" s="3"/>
      <c r="P32" s="3"/>
    </row>
    <row r="33" spans="1:23" ht="17.55" customHeight="1" thickBot="1">
      <c r="A33" s="2"/>
      <c r="B33" s="51"/>
      <c r="C33" s="52"/>
      <c r="D33" s="53"/>
      <c r="E33" s="53"/>
      <c r="F33" s="53"/>
      <c r="W33" s="55" t="s">
        <v>312</v>
      </c>
    </row>
    <row r="34" spans="1:23" ht="17.55" customHeight="1" thickBot="1">
      <c r="B34" s="53"/>
      <c r="C34" s="53"/>
      <c r="D34" s="53"/>
      <c r="E34" s="53"/>
      <c r="F34" s="53"/>
      <c r="W34" s="55" t="s">
        <v>304</v>
      </c>
    </row>
    <row r="35" spans="1:23" ht="17.55" customHeight="1" thickBot="1">
      <c r="W35" s="55" t="s">
        <v>325</v>
      </c>
    </row>
    <row r="36" spans="1:23" ht="17.55" customHeight="1" thickBot="1">
      <c r="W36" s="55" t="s">
        <v>339</v>
      </c>
    </row>
    <row r="39" spans="1:23" ht="17.55" customHeight="1" thickBot="1"/>
    <row r="40" spans="1:23">
      <c r="G40" s="13" t="s">
        <v>434</v>
      </c>
      <c r="H40" s="30" t="s">
        <v>435</v>
      </c>
      <c r="J40" s="28"/>
      <c r="K40" s="28"/>
      <c r="L40" s="28"/>
      <c r="M40" s="28"/>
      <c r="N40" s="28"/>
    </row>
    <row r="41" spans="1:23">
      <c r="G41" s="14" t="s">
        <v>436</v>
      </c>
      <c r="H41" s="28" t="s">
        <v>437</v>
      </c>
      <c r="J41" s="28"/>
      <c r="K41" s="28"/>
      <c r="L41" s="28"/>
      <c r="M41" s="28"/>
      <c r="N41" s="28"/>
    </row>
    <row r="42" spans="1:23">
      <c r="G42" s="14" t="s">
        <v>438</v>
      </c>
      <c r="H42" s="28" t="s">
        <v>439</v>
      </c>
      <c r="J42" s="28"/>
      <c r="K42" s="28"/>
      <c r="L42" s="28"/>
      <c r="M42" s="28"/>
      <c r="N42" s="28"/>
    </row>
    <row r="43" spans="1:23">
      <c r="G43" s="14" t="s">
        <v>440</v>
      </c>
      <c r="H43" s="28" t="s">
        <v>441</v>
      </c>
      <c r="J43" s="28"/>
      <c r="K43" s="28"/>
      <c r="L43" s="28"/>
      <c r="M43" s="28" t="s">
        <v>442</v>
      </c>
    </row>
    <row r="44" spans="1:23" ht="17.55" customHeight="1" thickBot="1">
      <c r="G44" s="15" t="s">
        <v>443</v>
      </c>
      <c r="H44" s="56" t="s">
        <v>444</v>
      </c>
      <c r="J44" s="28"/>
      <c r="K44" s="28"/>
      <c r="L44" s="28"/>
      <c r="M44" s="28" t="s">
        <v>445</v>
      </c>
    </row>
    <row r="45" spans="1:23" ht="17.55" customHeight="1" thickBot="1">
      <c r="H45" s="3"/>
      <c r="J45" s="3"/>
      <c r="K45" s="3"/>
      <c r="L45" s="3"/>
      <c r="M45" s="3"/>
    </row>
    <row r="46" spans="1:23">
      <c r="G46" s="12" t="s">
        <v>446</v>
      </c>
      <c r="H46" s="30" t="s">
        <v>447</v>
      </c>
      <c r="I46" s="34"/>
      <c r="J46" s="31"/>
      <c r="K46" s="28"/>
      <c r="L46" s="28"/>
      <c r="M46" s="28"/>
    </row>
    <row r="47" spans="1:23">
      <c r="G47" s="33"/>
      <c r="H47" s="28" t="s">
        <v>448</v>
      </c>
      <c r="J47" s="29"/>
      <c r="K47" s="28"/>
      <c r="L47" s="28"/>
      <c r="M47" s="28"/>
    </row>
    <row r="48" spans="1:23">
      <c r="G48" s="33" t="s">
        <v>449</v>
      </c>
      <c r="H48" s="28" t="s">
        <v>450</v>
      </c>
      <c r="J48" s="29"/>
      <c r="K48" s="28"/>
      <c r="L48" s="28"/>
      <c r="M48" s="28"/>
    </row>
    <row r="49" spans="7:13">
      <c r="G49" s="33" t="s">
        <v>451</v>
      </c>
      <c r="H49" s="28" t="s">
        <v>452</v>
      </c>
      <c r="J49" s="29"/>
      <c r="K49" s="28"/>
      <c r="L49" s="28"/>
      <c r="M49" s="28"/>
    </row>
    <row r="50" spans="7:13">
      <c r="G50" s="33"/>
      <c r="J50" s="32"/>
    </row>
    <row r="51" spans="7:13">
      <c r="G51" s="33" t="s">
        <v>453</v>
      </c>
      <c r="J51" s="32"/>
    </row>
    <row r="52" spans="7:13" ht="17.55" customHeight="1" thickBot="1">
      <c r="G52" s="25" t="s">
        <v>454</v>
      </c>
      <c r="H52" s="26"/>
      <c r="I52" s="26"/>
      <c r="J52" s="27"/>
    </row>
  </sheetData>
  <phoneticPr fontId="1" type="noConversion"/>
  <conditionalFormatting sqref="X2:X19">
    <cfRule type="duplicateValues" dxfId="1" priority="16"/>
  </conditionalFormatting>
  <conditionalFormatting sqref="X20">
    <cfRule type="duplicateValues" dxfId="0" priority="11"/>
  </conditionalFormatting>
  <pageMargins left="0.7" right="0.7" top="0.75" bottom="0.75" header="0.3" footer="0.3"/>
  <pageSetup paperSize="9" orientation="portrait" horizont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8"/>
  <sheetViews>
    <sheetView workbookViewId="0">
      <selection activeCell="B2" sqref="B2:B8"/>
    </sheetView>
  </sheetViews>
  <sheetFormatPr defaultRowHeight="17.399999999999999"/>
  <cols>
    <col min="1" max="1" width="10.19921875" bestFit="1" customWidth="1"/>
    <col min="2" max="2" width="16.69921875" bestFit="1" customWidth="1"/>
  </cols>
  <sheetData>
    <row r="1" spans="1:2" ht="17.55" customHeight="1" thickBot="1">
      <c r="A1" s="1" t="s">
        <v>0</v>
      </c>
      <c r="B1" s="1" t="s">
        <v>455</v>
      </c>
    </row>
    <row r="2" spans="1:2">
      <c r="A2" s="28" t="s">
        <v>42</v>
      </c>
      <c r="B2">
        <v>200000</v>
      </c>
    </row>
    <row r="3" spans="1:2">
      <c r="A3" s="28" t="s">
        <v>62</v>
      </c>
      <c r="B3">
        <v>300000</v>
      </c>
    </row>
    <row r="4" spans="1:2">
      <c r="A4" s="28" t="s">
        <v>82</v>
      </c>
      <c r="B4">
        <v>400000</v>
      </c>
    </row>
    <row r="5" spans="1:2">
      <c r="A5" s="28" t="s">
        <v>102</v>
      </c>
      <c r="B5">
        <v>550000</v>
      </c>
    </row>
    <row r="6" spans="1:2">
      <c r="A6" s="28" t="s">
        <v>122</v>
      </c>
      <c r="B6">
        <v>1500000</v>
      </c>
    </row>
    <row r="7" spans="1:2">
      <c r="A7" s="28" t="s">
        <v>142</v>
      </c>
      <c r="B7">
        <v>2000000</v>
      </c>
    </row>
    <row r="8" spans="1:2">
      <c r="A8" s="28" t="s">
        <v>162</v>
      </c>
      <c r="B8">
        <v>6500000</v>
      </c>
    </row>
    <row r="12" spans="1:2">
      <c r="A12" s="28"/>
    </row>
    <row r="18" spans="1:1">
      <c r="A18" s="28"/>
    </row>
    <row r="19" spans="1:1">
      <c r="A19" s="28"/>
    </row>
    <row r="20" spans="1:1">
      <c r="A20" s="28"/>
    </row>
    <row r="24" spans="1:1">
      <c r="A24" s="28"/>
    </row>
    <row r="25" spans="1:1">
      <c r="A25" s="28"/>
    </row>
    <row r="26" spans="1:1">
      <c r="A26" s="28"/>
    </row>
    <row r="27" spans="1:1">
      <c r="A27" s="28"/>
    </row>
    <row r="28" spans="1:1">
      <c r="A28" s="2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8"/>
  <sheetViews>
    <sheetView topLeftCell="E1" workbookViewId="0">
      <selection activeCell="J8" sqref="J8"/>
    </sheetView>
  </sheetViews>
  <sheetFormatPr defaultRowHeight="17.399999999999999"/>
  <cols>
    <col min="1" max="1" width="3.3984375" bestFit="1" customWidth="1"/>
    <col min="2" max="2" width="27.8984375" bestFit="1" customWidth="1"/>
    <col min="3" max="3" width="20.5" customWidth="1"/>
    <col min="4" max="4" width="24.8984375" bestFit="1" customWidth="1"/>
    <col min="5" max="5" width="8.19921875" customWidth="1"/>
    <col min="6" max="6" width="12.3984375" bestFit="1" customWidth="1"/>
    <col min="7" max="7" width="7.3984375" bestFit="1" customWidth="1"/>
    <col min="8" max="8" width="7.8984375" bestFit="1" customWidth="1"/>
    <col min="9" max="9" width="7.3984375" bestFit="1" customWidth="1"/>
    <col min="10" max="10" width="11.59765625" bestFit="1" customWidth="1"/>
    <col min="11" max="11" width="7.3984375" bestFit="1" customWidth="1"/>
    <col min="12" max="12" width="17.09765625" bestFit="1" customWidth="1"/>
    <col min="13" max="13" width="7.3984375" bestFit="1" customWidth="1"/>
    <col min="14" max="14" width="18.8984375" bestFit="1" customWidth="1"/>
    <col min="15" max="15" width="7.3984375" bestFit="1" customWidth="1"/>
    <col min="16" max="16" width="17.19921875" bestFit="1" customWidth="1"/>
    <col min="17" max="17" width="7.3984375" bestFit="1" customWidth="1"/>
    <col min="18" max="18" width="22.8984375" bestFit="1" customWidth="1"/>
    <col min="19" max="19" width="7.3984375" bestFit="1" customWidth="1"/>
    <col min="20" max="27" width="6.59765625" bestFit="1" customWidth="1"/>
  </cols>
  <sheetData>
    <row r="1" spans="1:27" ht="17.55" customHeight="1" thickBot="1">
      <c r="A1" s="1" t="s">
        <v>0</v>
      </c>
      <c r="B1" s="1" t="s">
        <v>456</v>
      </c>
      <c r="C1" s="1" t="s">
        <v>457</v>
      </c>
      <c r="D1" s="1" t="s">
        <v>458</v>
      </c>
      <c r="E1" s="1"/>
      <c r="F1" s="1" t="s">
        <v>459</v>
      </c>
      <c r="G1" s="1" t="s">
        <v>19</v>
      </c>
      <c r="H1" s="1" t="s">
        <v>460</v>
      </c>
      <c r="I1" s="1" t="s">
        <v>20</v>
      </c>
      <c r="J1" s="1" t="s">
        <v>461</v>
      </c>
      <c r="K1" s="1" t="s">
        <v>21</v>
      </c>
      <c r="L1" s="1" t="s">
        <v>462</v>
      </c>
      <c r="M1" s="1" t="s">
        <v>22</v>
      </c>
      <c r="N1" s="1" t="s">
        <v>463</v>
      </c>
      <c r="O1" s="1" t="s">
        <v>23</v>
      </c>
      <c r="P1" s="1" t="s">
        <v>464</v>
      </c>
      <c r="Q1" s="1" t="s">
        <v>24</v>
      </c>
      <c r="R1" s="1" t="s">
        <v>465</v>
      </c>
      <c r="S1" s="1" t="s">
        <v>25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  <c r="AA1" s="1" t="s">
        <v>473</v>
      </c>
    </row>
    <row r="2" spans="1:27" ht="16.5" customHeight="1">
      <c r="A2" s="2">
        <v>1</v>
      </c>
      <c r="B2" s="3" t="str">
        <f t="shared" ref="B2:B36" si="0">"[" &amp; $T2 &amp; "," &amp;$U2 &amp; "," &amp;$V2 &amp; "," &amp; $W2 &amp; "," &amp;$X2&amp; "," &amp;$Y2 &amp; "," &amp;$Z2&amp; "," &amp;$AA2&amp; "]"</f>
        <v>[20,40,60,80,100,120,140,150]</v>
      </c>
      <c r="C2" s="3" t="str">
        <f t="shared" ref="C2:C36" si="1">"[""None"",""" &amp; $F2 &amp; """,""" &amp;$H2 &amp; """,""" &amp;$J2 &amp; """,""" &amp; $L2 &amp; """,""" &amp;$N2&amp; """,""" &amp;$P2 &amp; """,""" &amp;$R2&amp; """]"</f>
        <v>["None","Attack","Attack","AttackBonus","CriticalProbability","CriticalAttackBonus","CriticalAttackBonus","AwakeningAttackBonus"]</v>
      </c>
      <c r="D2" s="3" t="str">
        <f t="shared" ref="D2:D36" si="2">"[0," &amp; $G2 &amp; "," &amp;$I2 &amp; "," &amp;$K2 &amp; "," &amp; $M2 &amp; "," &amp;$O2&amp; "," &amp;$Q2 &amp; "," &amp;$S2&amp; "]"</f>
        <v>[0,160,320,2400,5,5,10,5]</v>
      </c>
      <c r="E2" s="16"/>
      <c r="F2" s="2" t="s">
        <v>474</v>
      </c>
      <c r="G2" s="2">
        <v>160</v>
      </c>
      <c r="H2" s="2" t="s">
        <v>474</v>
      </c>
      <c r="I2" s="2">
        <f t="shared" ref="I2:I36" si="3">G2*2</f>
        <v>320</v>
      </c>
      <c r="J2" s="2" t="s">
        <v>475</v>
      </c>
      <c r="K2" s="2">
        <v>2400</v>
      </c>
      <c r="L2" s="2" t="s">
        <v>476</v>
      </c>
      <c r="M2" s="2">
        <v>5</v>
      </c>
      <c r="N2" s="2" t="s">
        <v>477</v>
      </c>
      <c r="O2" s="2">
        <v>5</v>
      </c>
      <c r="P2" s="2" t="s">
        <v>477</v>
      </c>
      <c r="Q2" s="2">
        <f t="shared" ref="Q2:Q36" si="4">O2*2</f>
        <v>10</v>
      </c>
      <c r="R2" s="2" t="s">
        <v>478</v>
      </c>
      <c r="S2" s="2">
        <v>5</v>
      </c>
      <c r="T2" s="2">
        <v>20</v>
      </c>
      <c r="U2" s="2">
        <v>40</v>
      </c>
      <c r="V2" s="2">
        <v>60</v>
      </c>
      <c r="W2" s="2">
        <v>80</v>
      </c>
      <c r="X2" s="2">
        <v>100</v>
      </c>
      <c r="Y2" s="2">
        <v>120</v>
      </c>
      <c r="Z2" s="2">
        <v>140</v>
      </c>
      <c r="AA2" s="2">
        <v>150</v>
      </c>
    </row>
    <row r="3" spans="1:27" ht="16.5" customHeight="1">
      <c r="A3" s="2">
        <v>2</v>
      </c>
      <c r="B3" s="3" t="str">
        <f t="shared" si="0"/>
        <v>[20,40,60,80,100,120,140,150]</v>
      </c>
      <c r="C3" s="3" t="str">
        <f t="shared" si="1"/>
        <v>["None","Attack","Attack","AttackBonus","CriticalProbability","CriticalAttackBonus","CriticalAttackBonus","AwakeningAttackBonus"]</v>
      </c>
      <c r="D3" s="3" t="str">
        <f t="shared" si="2"/>
        <v>[0,160,320,2400,5,6,12,5]</v>
      </c>
      <c r="E3" s="16"/>
      <c r="F3" s="2" t="s">
        <v>474</v>
      </c>
      <c r="G3" s="2">
        <v>160</v>
      </c>
      <c r="H3" s="2" t="s">
        <v>474</v>
      </c>
      <c r="I3" s="2">
        <f t="shared" si="3"/>
        <v>320</v>
      </c>
      <c r="J3" s="2" t="s">
        <v>475</v>
      </c>
      <c r="K3" s="2">
        <v>2400</v>
      </c>
      <c r="L3" s="2" t="s">
        <v>476</v>
      </c>
      <c r="M3" s="2">
        <v>5</v>
      </c>
      <c r="N3" s="2" t="s">
        <v>477</v>
      </c>
      <c r="O3" s="2">
        <v>6</v>
      </c>
      <c r="P3" s="2" t="s">
        <v>477</v>
      </c>
      <c r="Q3" s="2">
        <f t="shared" si="4"/>
        <v>12</v>
      </c>
      <c r="R3" s="2" t="s">
        <v>478</v>
      </c>
      <c r="S3" s="2">
        <v>5</v>
      </c>
      <c r="T3" s="2">
        <v>20</v>
      </c>
      <c r="U3" s="2">
        <v>40</v>
      </c>
      <c r="V3" s="2">
        <v>60</v>
      </c>
      <c r="W3" s="2">
        <v>80</v>
      </c>
      <c r="X3" s="2">
        <v>100</v>
      </c>
      <c r="Y3" s="2">
        <v>120</v>
      </c>
      <c r="Z3" s="2">
        <v>140</v>
      </c>
      <c r="AA3" s="2">
        <v>150</v>
      </c>
    </row>
    <row r="4" spans="1:27" ht="16.5" customHeight="1">
      <c r="A4" s="2">
        <v>3</v>
      </c>
      <c r="B4" s="3" t="str">
        <f t="shared" si="0"/>
        <v>[20,40,60,80,100,120,140,150]</v>
      </c>
      <c r="C4" s="3" t="str">
        <f t="shared" si="1"/>
        <v>["None","Attack","Attack","AttackBonus","CriticalProbability","CriticalAttackBonus","CriticalAttackBonus","AwakeningAttackBonus"]</v>
      </c>
      <c r="D4" s="3" t="str">
        <f t="shared" si="2"/>
        <v>[0,160,320,2400,5,7,14,5]</v>
      </c>
      <c r="E4" s="16"/>
      <c r="F4" s="2" t="s">
        <v>474</v>
      </c>
      <c r="G4" s="2">
        <v>160</v>
      </c>
      <c r="H4" s="2" t="s">
        <v>474</v>
      </c>
      <c r="I4" s="2">
        <f t="shared" si="3"/>
        <v>320</v>
      </c>
      <c r="J4" s="2" t="s">
        <v>475</v>
      </c>
      <c r="K4" s="2">
        <v>2400</v>
      </c>
      <c r="L4" s="2" t="s">
        <v>476</v>
      </c>
      <c r="M4" s="2">
        <v>5</v>
      </c>
      <c r="N4" s="2" t="s">
        <v>477</v>
      </c>
      <c r="O4" s="2">
        <v>7</v>
      </c>
      <c r="P4" s="2" t="s">
        <v>477</v>
      </c>
      <c r="Q4" s="2">
        <f t="shared" si="4"/>
        <v>14</v>
      </c>
      <c r="R4" s="2" t="s">
        <v>478</v>
      </c>
      <c r="S4" s="2">
        <v>5</v>
      </c>
      <c r="T4" s="2">
        <v>20</v>
      </c>
      <c r="U4" s="2">
        <v>40</v>
      </c>
      <c r="V4" s="2">
        <v>60</v>
      </c>
      <c r="W4" s="2">
        <v>80</v>
      </c>
      <c r="X4" s="2">
        <v>100</v>
      </c>
      <c r="Y4" s="2">
        <v>120</v>
      </c>
      <c r="Z4" s="2">
        <v>140</v>
      </c>
      <c r="AA4" s="2">
        <v>150</v>
      </c>
    </row>
    <row r="5" spans="1:27" ht="16.5" customHeight="1">
      <c r="A5" s="2">
        <v>4</v>
      </c>
      <c r="B5" s="3" t="str">
        <f t="shared" si="0"/>
        <v>[20,40,60,80,100,120,140,150]</v>
      </c>
      <c r="C5" s="3" t="str">
        <f t="shared" si="1"/>
        <v>["None","Attack","Attack","AttackBonus","CriticalProbability","CriticalAttackBonus","CriticalAttackBonus","AwakeningAttackBonus"]</v>
      </c>
      <c r="D5" s="3" t="str">
        <f t="shared" si="2"/>
        <v>[0,160,320,2400,5,8,16,5]</v>
      </c>
      <c r="E5" s="16"/>
      <c r="F5" s="2" t="s">
        <v>474</v>
      </c>
      <c r="G5" s="2">
        <v>160</v>
      </c>
      <c r="H5" s="2" t="s">
        <v>474</v>
      </c>
      <c r="I5" s="2">
        <f t="shared" si="3"/>
        <v>320</v>
      </c>
      <c r="J5" s="2" t="s">
        <v>475</v>
      </c>
      <c r="K5" s="2">
        <v>2400</v>
      </c>
      <c r="L5" s="2" t="s">
        <v>476</v>
      </c>
      <c r="M5" s="2">
        <v>5</v>
      </c>
      <c r="N5" s="2" t="s">
        <v>477</v>
      </c>
      <c r="O5" s="2">
        <v>8</v>
      </c>
      <c r="P5" s="2" t="s">
        <v>477</v>
      </c>
      <c r="Q5" s="2">
        <f t="shared" si="4"/>
        <v>16</v>
      </c>
      <c r="R5" s="2" t="s">
        <v>478</v>
      </c>
      <c r="S5" s="2">
        <v>5</v>
      </c>
      <c r="T5" s="2">
        <v>20</v>
      </c>
      <c r="U5" s="2">
        <v>40</v>
      </c>
      <c r="V5" s="2">
        <v>60</v>
      </c>
      <c r="W5" s="2">
        <v>80</v>
      </c>
      <c r="X5" s="2">
        <v>100</v>
      </c>
      <c r="Y5" s="2">
        <v>120</v>
      </c>
      <c r="Z5" s="2">
        <v>140</v>
      </c>
      <c r="AA5" s="2">
        <v>150</v>
      </c>
    </row>
    <row r="6" spans="1:27" ht="16.5" customHeight="1">
      <c r="A6" s="4">
        <v>5</v>
      </c>
      <c r="B6" s="3" t="str">
        <f t="shared" si="0"/>
        <v>[20,40,60,80,100,120,140,150]</v>
      </c>
      <c r="C6" s="3" t="str">
        <f t="shared" si="1"/>
        <v>["None","Attack","Attack","AttackBonus","CriticalProbability","CriticalAttackBonus","CriticalAttackBonus","AwakeningAttackBonus"]</v>
      </c>
      <c r="D6" s="3" t="str">
        <f t="shared" si="2"/>
        <v>[0,200,400,3000,5,9,18,5]</v>
      </c>
      <c r="E6" s="16"/>
      <c r="F6" s="2" t="s">
        <v>474</v>
      </c>
      <c r="G6" s="4">
        <v>200</v>
      </c>
      <c r="H6" s="2" t="s">
        <v>474</v>
      </c>
      <c r="I6" s="2">
        <f t="shared" si="3"/>
        <v>400</v>
      </c>
      <c r="J6" s="2" t="s">
        <v>475</v>
      </c>
      <c r="K6" s="4">
        <v>3000</v>
      </c>
      <c r="L6" s="4" t="s">
        <v>476</v>
      </c>
      <c r="M6" s="2">
        <v>5</v>
      </c>
      <c r="N6" s="4" t="s">
        <v>477</v>
      </c>
      <c r="O6" s="2">
        <v>9</v>
      </c>
      <c r="P6" s="4" t="s">
        <v>477</v>
      </c>
      <c r="Q6" s="2">
        <f t="shared" si="4"/>
        <v>18</v>
      </c>
      <c r="R6" s="4" t="s">
        <v>478</v>
      </c>
      <c r="S6" s="4">
        <v>5</v>
      </c>
      <c r="T6" s="4">
        <v>20</v>
      </c>
      <c r="U6" s="4">
        <v>40</v>
      </c>
      <c r="V6" s="4">
        <v>60</v>
      </c>
      <c r="W6" s="4">
        <v>80</v>
      </c>
      <c r="X6" s="4">
        <v>100</v>
      </c>
      <c r="Y6" s="4">
        <v>120</v>
      </c>
      <c r="Z6" s="4">
        <v>140</v>
      </c>
      <c r="AA6" s="4">
        <v>150</v>
      </c>
    </row>
    <row r="7" spans="1:27" ht="16.5" customHeight="1">
      <c r="A7" s="2">
        <v>6</v>
      </c>
      <c r="B7" s="3" t="str">
        <f t="shared" si="0"/>
        <v>[20,40,60,80,100,120,140,150]</v>
      </c>
      <c r="C7" s="3" t="str">
        <f t="shared" si="1"/>
        <v>["None","Attack","Attack","AttackBonus","CriticalProbability","CriticalAttackBonus","CriticalAttackBonus","AwakeningAttackBonus"]</v>
      </c>
      <c r="D7" s="3" t="str">
        <f t="shared" si="2"/>
        <v>[0,220,440,3300,5,10,20,5]</v>
      </c>
      <c r="E7" s="16"/>
      <c r="F7" s="2" t="s">
        <v>474</v>
      </c>
      <c r="G7" s="2">
        <v>220</v>
      </c>
      <c r="H7" s="2" t="s">
        <v>474</v>
      </c>
      <c r="I7" s="2">
        <f t="shared" si="3"/>
        <v>440</v>
      </c>
      <c r="J7" s="2" t="s">
        <v>475</v>
      </c>
      <c r="K7" s="2">
        <v>3300</v>
      </c>
      <c r="L7" s="2" t="s">
        <v>476</v>
      </c>
      <c r="M7" s="2">
        <v>5</v>
      </c>
      <c r="N7" s="2" t="s">
        <v>477</v>
      </c>
      <c r="O7" s="2">
        <v>10</v>
      </c>
      <c r="P7" s="2" t="s">
        <v>477</v>
      </c>
      <c r="Q7" s="2">
        <f t="shared" si="4"/>
        <v>20</v>
      </c>
      <c r="R7" s="2" t="s">
        <v>478</v>
      </c>
      <c r="S7" s="2">
        <v>5</v>
      </c>
      <c r="T7" s="2">
        <v>20</v>
      </c>
      <c r="U7" s="2">
        <v>40</v>
      </c>
      <c r="V7" s="2">
        <v>60</v>
      </c>
      <c r="W7" s="2">
        <v>80</v>
      </c>
      <c r="X7" s="2">
        <v>100</v>
      </c>
      <c r="Y7" s="2">
        <v>120</v>
      </c>
      <c r="Z7" s="2">
        <v>140</v>
      </c>
      <c r="AA7" s="2">
        <v>150</v>
      </c>
    </row>
    <row r="8" spans="1:27" ht="16.5" customHeight="1">
      <c r="A8" s="2">
        <v>7</v>
      </c>
      <c r="B8" s="3" t="str">
        <f t="shared" si="0"/>
        <v>[20,40,60,80,100,120,140,150]</v>
      </c>
      <c r="C8" s="3" t="str">
        <f t="shared" si="1"/>
        <v>["None","Attack","Attack","AttackBonus","CriticalProbability","CriticalAttackBonus","CriticalAttackBonus","AwakeningAttackBonus"]</v>
      </c>
      <c r="D8" s="3" t="str">
        <f t="shared" si="2"/>
        <v>[0,240,480,3600,5,11,22,5]</v>
      </c>
      <c r="E8" s="16"/>
      <c r="F8" s="2" t="s">
        <v>474</v>
      </c>
      <c r="G8" s="2">
        <v>240</v>
      </c>
      <c r="H8" s="2" t="s">
        <v>474</v>
      </c>
      <c r="I8" s="2">
        <f t="shared" si="3"/>
        <v>480</v>
      </c>
      <c r="J8" s="2" t="s">
        <v>475</v>
      </c>
      <c r="K8" s="2">
        <v>3600</v>
      </c>
      <c r="L8" s="2" t="s">
        <v>476</v>
      </c>
      <c r="M8" s="2">
        <v>5</v>
      </c>
      <c r="N8" s="2" t="s">
        <v>477</v>
      </c>
      <c r="O8" s="2">
        <v>11</v>
      </c>
      <c r="P8" s="2" t="s">
        <v>477</v>
      </c>
      <c r="Q8" s="2">
        <f t="shared" si="4"/>
        <v>22</v>
      </c>
      <c r="R8" s="2" t="s">
        <v>478</v>
      </c>
      <c r="S8" s="2">
        <v>5</v>
      </c>
      <c r="T8" s="2">
        <v>20</v>
      </c>
      <c r="U8" s="2">
        <v>40</v>
      </c>
      <c r="V8" s="2">
        <v>60</v>
      </c>
      <c r="W8" s="2">
        <v>80</v>
      </c>
      <c r="X8" s="2">
        <v>100</v>
      </c>
      <c r="Y8" s="2">
        <v>120</v>
      </c>
      <c r="Z8" s="2">
        <v>140</v>
      </c>
      <c r="AA8" s="2">
        <v>150</v>
      </c>
    </row>
    <row r="9" spans="1:27" ht="16.5" customHeight="1">
      <c r="A9" s="2">
        <v>8</v>
      </c>
      <c r="B9" s="3" t="str">
        <f t="shared" si="0"/>
        <v>[20,40,60,80,100,120,140,150]</v>
      </c>
      <c r="C9" s="3" t="str">
        <f t="shared" si="1"/>
        <v>["None","Attack","Attack","AttackBonus","CriticalProbability","CriticalAttackBonus","CriticalAttackBonus","AwakeningAttackBonus"]</v>
      </c>
      <c r="D9" s="3" t="str">
        <f t="shared" si="2"/>
        <v>[0,260,520,3900,5,12,24,5]</v>
      </c>
      <c r="E9" s="16"/>
      <c r="F9" s="2" t="s">
        <v>474</v>
      </c>
      <c r="G9" s="2">
        <v>260</v>
      </c>
      <c r="H9" s="2" t="s">
        <v>474</v>
      </c>
      <c r="I9" s="2">
        <f t="shared" si="3"/>
        <v>520</v>
      </c>
      <c r="J9" s="2" t="s">
        <v>475</v>
      </c>
      <c r="K9" s="2">
        <v>3900</v>
      </c>
      <c r="L9" s="2" t="s">
        <v>476</v>
      </c>
      <c r="M9" s="2">
        <v>5</v>
      </c>
      <c r="N9" s="2" t="s">
        <v>477</v>
      </c>
      <c r="O9" s="2">
        <v>12</v>
      </c>
      <c r="P9" s="2" t="s">
        <v>477</v>
      </c>
      <c r="Q9" s="2">
        <f t="shared" si="4"/>
        <v>24</v>
      </c>
      <c r="R9" s="2" t="s">
        <v>478</v>
      </c>
      <c r="S9" s="2">
        <v>5</v>
      </c>
      <c r="T9" s="2">
        <v>20</v>
      </c>
      <c r="U9" s="2">
        <v>40</v>
      </c>
      <c r="V9" s="2">
        <v>60</v>
      </c>
      <c r="W9" s="2">
        <v>80</v>
      </c>
      <c r="X9" s="2">
        <v>100</v>
      </c>
      <c r="Y9" s="2">
        <v>120</v>
      </c>
      <c r="Z9" s="2">
        <v>140</v>
      </c>
      <c r="AA9" s="2">
        <v>150</v>
      </c>
    </row>
    <row r="10" spans="1:27" ht="16.5" customHeight="1">
      <c r="A10" s="2">
        <v>9</v>
      </c>
      <c r="B10" s="3" t="str">
        <f t="shared" si="0"/>
        <v>[20,40,60,80,100,120,140,150]</v>
      </c>
      <c r="C10" s="3" t="str">
        <f t="shared" si="1"/>
        <v>["None","Attack","Attack","AttackBonus","CriticalProbability","CriticalAttackBonus","CriticalAttackBonus","AwakeningAttackBonus"]</v>
      </c>
      <c r="D10" s="3" t="str">
        <f t="shared" si="2"/>
        <v>[0,280,560,4200,5,13,26,5]</v>
      </c>
      <c r="E10" s="16"/>
      <c r="F10" s="2" t="s">
        <v>474</v>
      </c>
      <c r="G10" s="2">
        <v>280</v>
      </c>
      <c r="H10" s="2" t="s">
        <v>474</v>
      </c>
      <c r="I10" s="2">
        <f t="shared" si="3"/>
        <v>560</v>
      </c>
      <c r="J10" s="2" t="s">
        <v>475</v>
      </c>
      <c r="K10" s="2">
        <v>4200</v>
      </c>
      <c r="L10" s="2" t="s">
        <v>476</v>
      </c>
      <c r="M10" s="2">
        <v>5</v>
      </c>
      <c r="N10" s="2" t="s">
        <v>477</v>
      </c>
      <c r="O10" s="2">
        <v>13</v>
      </c>
      <c r="P10" s="2" t="s">
        <v>477</v>
      </c>
      <c r="Q10" s="2">
        <f t="shared" si="4"/>
        <v>26</v>
      </c>
      <c r="R10" s="2" t="s">
        <v>478</v>
      </c>
      <c r="S10" s="2">
        <v>5</v>
      </c>
      <c r="T10" s="2">
        <v>20</v>
      </c>
      <c r="U10" s="2">
        <v>40</v>
      </c>
      <c r="V10" s="2">
        <v>60</v>
      </c>
      <c r="W10" s="2">
        <v>80</v>
      </c>
      <c r="X10" s="2">
        <v>100</v>
      </c>
      <c r="Y10" s="2">
        <v>120</v>
      </c>
      <c r="Z10" s="2">
        <v>140</v>
      </c>
      <c r="AA10" s="2">
        <v>150</v>
      </c>
    </row>
    <row r="11" spans="1:27" ht="16.5" customHeight="1">
      <c r="A11" s="5">
        <v>10</v>
      </c>
      <c r="B11" s="3" t="str">
        <f t="shared" si="0"/>
        <v>[20,40,60,80,100,120,140,150]</v>
      </c>
      <c r="C11" s="3" t="str">
        <f t="shared" si="1"/>
        <v>["None","Attack","Attack","AttackBonus","CriticalProbability","CriticalAttackBonus","CriticalAttackBonus","AwakeningAttackBonus"]</v>
      </c>
      <c r="D11" s="3" t="str">
        <f t="shared" si="2"/>
        <v>[0,300,600,4500,5,14,28,5]</v>
      </c>
      <c r="E11" s="16"/>
      <c r="F11" s="2" t="s">
        <v>474</v>
      </c>
      <c r="G11" s="5">
        <v>300</v>
      </c>
      <c r="H11" s="2" t="s">
        <v>474</v>
      </c>
      <c r="I11" s="2">
        <f t="shared" si="3"/>
        <v>600</v>
      </c>
      <c r="J11" s="2" t="s">
        <v>475</v>
      </c>
      <c r="K11" s="5">
        <v>4500</v>
      </c>
      <c r="L11" s="5" t="s">
        <v>476</v>
      </c>
      <c r="M11" s="2">
        <v>5</v>
      </c>
      <c r="N11" s="5" t="s">
        <v>477</v>
      </c>
      <c r="O11" s="2">
        <v>14</v>
      </c>
      <c r="P11" s="5" t="s">
        <v>477</v>
      </c>
      <c r="Q11" s="2">
        <f t="shared" si="4"/>
        <v>28</v>
      </c>
      <c r="R11" s="5" t="s">
        <v>478</v>
      </c>
      <c r="S11" s="5">
        <v>5</v>
      </c>
      <c r="T11" s="5">
        <v>20</v>
      </c>
      <c r="U11" s="5">
        <v>40</v>
      </c>
      <c r="V11" s="5">
        <v>60</v>
      </c>
      <c r="W11" s="5">
        <v>80</v>
      </c>
      <c r="X11" s="5">
        <v>100</v>
      </c>
      <c r="Y11" s="5">
        <v>120</v>
      </c>
      <c r="Z11" s="5">
        <v>140</v>
      </c>
      <c r="AA11" s="5">
        <v>150</v>
      </c>
    </row>
    <row r="12" spans="1:27" ht="16.5" customHeight="1">
      <c r="A12" s="2">
        <v>11</v>
      </c>
      <c r="B12" s="3" t="str">
        <f t="shared" si="0"/>
        <v>[20,40,60,80,100,120,140,150]</v>
      </c>
      <c r="C12" s="3" t="str">
        <f t="shared" si="1"/>
        <v>["None","Attack","Attack","AttackBonus","CriticalProbability","CriticalAttackBonus","CriticalAttackBonus","AwakeningAttackBonus"]</v>
      </c>
      <c r="D12" s="3" t="str">
        <f t="shared" si="2"/>
        <v>[0,400,800,6000,5,15,30,5]</v>
      </c>
      <c r="E12" s="16"/>
      <c r="F12" s="2" t="s">
        <v>474</v>
      </c>
      <c r="G12" s="2">
        <v>400</v>
      </c>
      <c r="H12" s="2" t="s">
        <v>474</v>
      </c>
      <c r="I12" s="2">
        <f t="shared" si="3"/>
        <v>800</v>
      </c>
      <c r="J12" s="2" t="s">
        <v>475</v>
      </c>
      <c r="K12" s="2">
        <v>6000</v>
      </c>
      <c r="L12" s="2" t="s">
        <v>476</v>
      </c>
      <c r="M12" s="2">
        <v>5</v>
      </c>
      <c r="N12" s="2" t="s">
        <v>477</v>
      </c>
      <c r="O12" s="2">
        <v>15</v>
      </c>
      <c r="P12" s="2" t="s">
        <v>477</v>
      </c>
      <c r="Q12" s="2">
        <f t="shared" si="4"/>
        <v>30</v>
      </c>
      <c r="R12" s="2" t="s">
        <v>478</v>
      </c>
      <c r="S12" s="2">
        <v>5</v>
      </c>
      <c r="T12" s="2">
        <v>20</v>
      </c>
      <c r="U12" s="2">
        <v>40</v>
      </c>
      <c r="V12" s="2">
        <v>60</v>
      </c>
      <c r="W12" s="2">
        <v>80</v>
      </c>
      <c r="X12" s="2">
        <v>100</v>
      </c>
      <c r="Y12" s="2">
        <v>120</v>
      </c>
      <c r="Z12" s="2">
        <v>140</v>
      </c>
      <c r="AA12" s="2">
        <v>150</v>
      </c>
    </row>
    <row r="13" spans="1:27" ht="16.5" customHeight="1">
      <c r="A13" s="2">
        <v>12</v>
      </c>
      <c r="B13" s="3" t="str">
        <f t="shared" si="0"/>
        <v>[20,40,60,80,100,120,140,150]</v>
      </c>
      <c r="C13" s="3" t="str">
        <f t="shared" si="1"/>
        <v>["None","Attack","Attack","AttackBonus","CriticalProbability","CriticalAttackBonus","CriticalAttackBonus","AwakeningAttackBonus"]</v>
      </c>
      <c r="D13" s="3" t="str">
        <f t="shared" si="2"/>
        <v>[0,440,880,6600,5,16,32,5]</v>
      </c>
      <c r="E13" s="16"/>
      <c r="F13" s="2" t="s">
        <v>474</v>
      </c>
      <c r="G13" s="2">
        <v>440</v>
      </c>
      <c r="H13" s="2" t="s">
        <v>474</v>
      </c>
      <c r="I13" s="2">
        <f t="shared" si="3"/>
        <v>880</v>
      </c>
      <c r="J13" s="2" t="s">
        <v>475</v>
      </c>
      <c r="K13" s="2">
        <v>6600</v>
      </c>
      <c r="L13" s="2" t="s">
        <v>476</v>
      </c>
      <c r="M13" s="2">
        <v>5</v>
      </c>
      <c r="N13" s="2" t="s">
        <v>477</v>
      </c>
      <c r="O13" s="2">
        <v>16</v>
      </c>
      <c r="P13" s="2" t="s">
        <v>477</v>
      </c>
      <c r="Q13" s="2">
        <f t="shared" si="4"/>
        <v>32</v>
      </c>
      <c r="R13" s="2" t="s">
        <v>478</v>
      </c>
      <c r="S13" s="2">
        <v>5</v>
      </c>
      <c r="T13" s="2">
        <v>20</v>
      </c>
      <c r="U13" s="2">
        <v>40</v>
      </c>
      <c r="V13" s="2">
        <v>60</v>
      </c>
      <c r="W13" s="2">
        <v>80</v>
      </c>
      <c r="X13" s="2">
        <v>100</v>
      </c>
      <c r="Y13" s="2">
        <v>120</v>
      </c>
      <c r="Z13" s="2">
        <v>140</v>
      </c>
      <c r="AA13" s="2">
        <v>150</v>
      </c>
    </row>
    <row r="14" spans="1:27" ht="16.5" customHeight="1">
      <c r="A14" s="2">
        <v>13</v>
      </c>
      <c r="B14" s="3" t="str">
        <f t="shared" si="0"/>
        <v>[20,40,60,80,100,120,140,150]</v>
      </c>
      <c r="C14" s="3" t="str">
        <f t="shared" si="1"/>
        <v>["None","Attack","Attack","AttackBonus","CriticalProbability","CriticalAttackBonus","CriticalAttackBonus","AwakeningAttackBonus"]</v>
      </c>
      <c r="D14" s="3" t="str">
        <f t="shared" si="2"/>
        <v>[0,480,960,7200,5,17,34,5]</v>
      </c>
      <c r="E14" s="16"/>
      <c r="F14" s="2" t="s">
        <v>474</v>
      </c>
      <c r="G14" s="2">
        <v>480</v>
      </c>
      <c r="H14" s="2" t="s">
        <v>474</v>
      </c>
      <c r="I14" s="2">
        <f t="shared" si="3"/>
        <v>960</v>
      </c>
      <c r="J14" s="2" t="s">
        <v>475</v>
      </c>
      <c r="K14" s="2">
        <v>7200</v>
      </c>
      <c r="L14" s="2" t="s">
        <v>476</v>
      </c>
      <c r="M14" s="2">
        <v>5</v>
      </c>
      <c r="N14" s="2" t="s">
        <v>477</v>
      </c>
      <c r="O14" s="2">
        <v>17</v>
      </c>
      <c r="P14" s="2" t="s">
        <v>477</v>
      </c>
      <c r="Q14" s="2">
        <f t="shared" si="4"/>
        <v>34</v>
      </c>
      <c r="R14" s="2" t="s">
        <v>478</v>
      </c>
      <c r="S14" s="2">
        <v>5</v>
      </c>
      <c r="T14" s="2">
        <v>20</v>
      </c>
      <c r="U14" s="2">
        <v>40</v>
      </c>
      <c r="V14" s="2">
        <v>60</v>
      </c>
      <c r="W14" s="2">
        <v>80</v>
      </c>
      <c r="X14" s="2">
        <v>100</v>
      </c>
      <c r="Y14" s="2">
        <v>120</v>
      </c>
      <c r="Z14" s="2">
        <v>140</v>
      </c>
      <c r="AA14" s="2">
        <v>150</v>
      </c>
    </row>
    <row r="15" spans="1:27" ht="16.5" customHeight="1">
      <c r="A15" s="2">
        <v>14</v>
      </c>
      <c r="B15" s="3" t="str">
        <f t="shared" si="0"/>
        <v>[20,40,60,80,100,120,140,150]</v>
      </c>
      <c r="C15" s="3" t="str">
        <f t="shared" si="1"/>
        <v>["None","Attack","Attack","AttackBonus","CriticalProbability","CriticalAttackBonus","CriticalAttackBonus","AwakeningAttackBonus"]</v>
      </c>
      <c r="D15" s="3" t="str">
        <f t="shared" si="2"/>
        <v>[0,520,1040,7800,5,18,36,5]</v>
      </c>
      <c r="E15" s="16"/>
      <c r="F15" s="2" t="s">
        <v>474</v>
      </c>
      <c r="G15" s="2">
        <v>520</v>
      </c>
      <c r="H15" s="2" t="s">
        <v>474</v>
      </c>
      <c r="I15" s="2">
        <f t="shared" si="3"/>
        <v>1040</v>
      </c>
      <c r="J15" s="2" t="s">
        <v>475</v>
      </c>
      <c r="K15" s="2">
        <v>7800</v>
      </c>
      <c r="L15" s="2" t="s">
        <v>476</v>
      </c>
      <c r="M15" s="2">
        <v>5</v>
      </c>
      <c r="N15" s="2" t="s">
        <v>477</v>
      </c>
      <c r="O15" s="2">
        <v>18</v>
      </c>
      <c r="P15" s="2" t="s">
        <v>477</v>
      </c>
      <c r="Q15" s="2">
        <f t="shared" si="4"/>
        <v>36</v>
      </c>
      <c r="R15" s="2" t="s">
        <v>478</v>
      </c>
      <c r="S15" s="2">
        <v>5</v>
      </c>
      <c r="T15" s="2">
        <v>20</v>
      </c>
      <c r="U15" s="2">
        <v>40</v>
      </c>
      <c r="V15" s="2">
        <v>60</v>
      </c>
      <c r="W15" s="2">
        <v>80</v>
      </c>
      <c r="X15" s="2">
        <v>100</v>
      </c>
      <c r="Y15" s="2">
        <v>120</v>
      </c>
      <c r="Z15" s="2">
        <v>140</v>
      </c>
      <c r="AA15" s="2">
        <v>150</v>
      </c>
    </row>
    <row r="16" spans="1:27" ht="16.5" customHeight="1">
      <c r="A16" s="6">
        <v>15</v>
      </c>
      <c r="B16" s="3" t="str">
        <f t="shared" si="0"/>
        <v>[20,40,60,80,100,120,140,150]</v>
      </c>
      <c r="C16" s="3" t="str">
        <f t="shared" si="1"/>
        <v>["None","Attack","Attack","AttackBonus","CriticalProbability","CriticalAttackBonus","CriticalAttackBonus","AwakeningAttackBonus"]</v>
      </c>
      <c r="D16" s="3" t="str">
        <f t="shared" si="2"/>
        <v>[0,560,1120,8400,5,19,38,5]</v>
      </c>
      <c r="E16" s="16"/>
      <c r="F16" s="2" t="s">
        <v>474</v>
      </c>
      <c r="G16" s="6">
        <v>560</v>
      </c>
      <c r="H16" s="2" t="s">
        <v>474</v>
      </c>
      <c r="I16" s="2">
        <f t="shared" si="3"/>
        <v>1120</v>
      </c>
      <c r="J16" s="2" t="s">
        <v>475</v>
      </c>
      <c r="K16" s="6">
        <v>8400</v>
      </c>
      <c r="L16" s="6" t="s">
        <v>476</v>
      </c>
      <c r="M16" s="2">
        <v>5</v>
      </c>
      <c r="N16" s="6" t="s">
        <v>477</v>
      </c>
      <c r="O16" s="2">
        <v>19</v>
      </c>
      <c r="P16" s="6" t="s">
        <v>477</v>
      </c>
      <c r="Q16" s="2">
        <f t="shared" si="4"/>
        <v>38</v>
      </c>
      <c r="R16" s="6" t="s">
        <v>478</v>
      </c>
      <c r="S16" s="6">
        <v>5</v>
      </c>
      <c r="T16" s="6">
        <v>20</v>
      </c>
      <c r="U16" s="6">
        <v>40</v>
      </c>
      <c r="V16" s="6">
        <v>60</v>
      </c>
      <c r="W16" s="6">
        <v>80</v>
      </c>
      <c r="X16" s="6">
        <v>100</v>
      </c>
      <c r="Y16" s="6">
        <v>120</v>
      </c>
      <c r="Z16" s="6">
        <v>140</v>
      </c>
      <c r="AA16" s="6">
        <v>150</v>
      </c>
    </row>
    <row r="17" spans="1:27" ht="16.5" customHeight="1">
      <c r="A17" s="2">
        <v>16</v>
      </c>
      <c r="B17" s="3" t="str">
        <f t="shared" si="0"/>
        <v>[20,40,60,80,100,120,140,150]</v>
      </c>
      <c r="C17" s="3" t="str">
        <f t="shared" si="1"/>
        <v>["None","Attack","Attack","AttackBonus","CriticalProbability","CriticalAttackBonus","CriticalAttackBonus","AwakeningAttackBonus"]</v>
      </c>
      <c r="D17" s="3" t="str">
        <f t="shared" si="2"/>
        <v>[0,600,1200,9000,5,20,40,5]</v>
      </c>
      <c r="E17" s="16"/>
      <c r="F17" s="2" t="s">
        <v>474</v>
      </c>
      <c r="G17" s="2">
        <v>600</v>
      </c>
      <c r="H17" s="2" t="s">
        <v>474</v>
      </c>
      <c r="I17" s="2">
        <f t="shared" si="3"/>
        <v>1200</v>
      </c>
      <c r="J17" s="2" t="s">
        <v>475</v>
      </c>
      <c r="K17" s="2">
        <v>9000</v>
      </c>
      <c r="L17" s="2" t="s">
        <v>476</v>
      </c>
      <c r="M17" s="2">
        <v>5</v>
      </c>
      <c r="N17" s="2" t="s">
        <v>477</v>
      </c>
      <c r="O17" s="2">
        <v>20</v>
      </c>
      <c r="P17" s="2" t="s">
        <v>477</v>
      </c>
      <c r="Q17" s="2">
        <f t="shared" si="4"/>
        <v>40</v>
      </c>
      <c r="R17" s="2" t="s">
        <v>478</v>
      </c>
      <c r="S17" s="2">
        <v>5</v>
      </c>
      <c r="T17" s="2">
        <v>20</v>
      </c>
      <c r="U17" s="2">
        <v>40</v>
      </c>
      <c r="V17" s="2">
        <v>60</v>
      </c>
      <c r="W17" s="2">
        <v>80</v>
      </c>
      <c r="X17" s="2">
        <v>100</v>
      </c>
      <c r="Y17" s="2">
        <v>120</v>
      </c>
      <c r="Z17" s="2">
        <v>140</v>
      </c>
      <c r="AA17" s="2">
        <v>150</v>
      </c>
    </row>
    <row r="18" spans="1:27" ht="16.5" customHeight="1">
      <c r="A18" s="2">
        <v>17</v>
      </c>
      <c r="B18" s="3" t="str">
        <f t="shared" si="0"/>
        <v>[20,40,60,80,100,120,140,150]</v>
      </c>
      <c r="C18" s="3" t="str">
        <f t="shared" si="1"/>
        <v>["None","Attack","Attack","AttackBonus","CriticalProbability","CriticalAttackBonus","CriticalAttackBonus","AwakeningAttackBonus"]</v>
      </c>
      <c r="D18" s="3" t="str">
        <f t="shared" si="2"/>
        <v>[0,660,1320,9900,5,21,42,5]</v>
      </c>
      <c r="E18" s="16"/>
      <c r="F18" s="2" t="s">
        <v>474</v>
      </c>
      <c r="G18" s="2">
        <v>660</v>
      </c>
      <c r="H18" s="2" t="s">
        <v>474</v>
      </c>
      <c r="I18" s="2">
        <f t="shared" si="3"/>
        <v>1320</v>
      </c>
      <c r="J18" s="2" t="s">
        <v>475</v>
      </c>
      <c r="K18" s="2">
        <v>9900</v>
      </c>
      <c r="L18" s="2" t="s">
        <v>476</v>
      </c>
      <c r="M18" s="2">
        <v>5</v>
      </c>
      <c r="N18" s="2" t="s">
        <v>477</v>
      </c>
      <c r="O18" s="2">
        <v>21</v>
      </c>
      <c r="P18" s="2" t="s">
        <v>477</v>
      </c>
      <c r="Q18" s="2">
        <f t="shared" si="4"/>
        <v>42</v>
      </c>
      <c r="R18" s="2" t="s">
        <v>478</v>
      </c>
      <c r="S18" s="2">
        <v>5</v>
      </c>
      <c r="T18" s="2">
        <v>20</v>
      </c>
      <c r="U18" s="2">
        <v>40</v>
      </c>
      <c r="V18" s="2">
        <v>60</v>
      </c>
      <c r="W18" s="2">
        <v>80</v>
      </c>
      <c r="X18" s="2">
        <v>100</v>
      </c>
      <c r="Y18" s="2">
        <v>120</v>
      </c>
      <c r="Z18" s="2">
        <v>140</v>
      </c>
      <c r="AA18" s="2">
        <v>150</v>
      </c>
    </row>
    <row r="19" spans="1:27" ht="16.5" customHeight="1">
      <c r="A19" s="2">
        <v>18</v>
      </c>
      <c r="B19" s="3" t="str">
        <f t="shared" si="0"/>
        <v>[20,40,60,80,100,120,140,150]</v>
      </c>
      <c r="C19" s="3" t="str">
        <f t="shared" si="1"/>
        <v>["None","Attack","Attack","AttackBonus","CriticalProbability","CriticalAttackBonus","CriticalAttackBonus","AwakeningAttackBonus"]</v>
      </c>
      <c r="D19" s="3" t="str">
        <f t="shared" si="2"/>
        <v>[0,720,1440,10800,5,22,44,5]</v>
      </c>
      <c r="E19" s="16"/>
      <c r="F19" s="2" t="s">
        <v>474</v>
      </c>
      <c r="G19" s="2">
        <v>720</v>
      </c>
      <c r="H19" s="2" t="s">
        <v>474</v>
      </c>
      <c r="I19" s="2">
        <f t="shared" si="3"/>
        <v>1440</v>
      </c>
      <c r="J19" s="2" t="s">
        <v>475</v>
      </c>
      <c r="K19" s="2">
        <v>10800</v>
      </c>
      <c r="L19" s="2" t="s">
        <v>476</v>
      </c>
      <c r="M19" s="2">
        <v>5</v>
      </c>
      <c r="N19" s="2" t="s">
        <v>477</v>
      </c>
      <c r="O19" s="2">
        <v>22</v>
      </c>
      <c r="P19" s="2" t="s">
        <v>477</v>
      </c>
      <c r="Q19" s="2">
        <f t="shared" si="4"/>
        <v>44</v>
      </c>
      <c r="R19" s="2" t="s">
        <v>478</v>
      </c>
      <c r="S19" s="2">
        <v>5</v>
      </c>
      <c r="T19" s="2">
        <v>20</v>
      </c>
      <c r="U19" s="2">
        <v>40</v>
      </c>
      <c r="V19" s="2">
        <v>60</v>
      </c>
      <c r="W19" s="2">
        <v>80</v>
      </c>
      <c r="X19" s="2">
        <v>100</v>
      </c>
      <c r="Y19" s="2">
        <v>120</v>
      </c>
      <c r="Z19" s="2">
        <v>140</v>
      </c>
      <c r="AA19" s="2">
        <v>150</v>
      </c>
    </row>
    <row r="20" spans="1:27" ht="16.5" customHeight="1">
      <c r="A20" s="2">
        <v>19</v>
      </c>
      <c r="B20" s="3" t="str">
        <f t="shared" si="0"/>
        <v>[20,40,60,80,100,120,140,150]</v>
      </c>
      <c r="C20" s="3" t="str">
        <f t="shared" si="1"/>
        <v>["None","Attack","Attack","AttackBonus","CriticalProbability","CriticalAttackBonus","CriticalAttackBonus","AwakeningAttackBonus"]</v>
      </c>
      <c r="D20" s="3" t="str">
        <f t="shared" si="2"/>
        <v>[0,780,1560,11700,5,23,46,5]</v>
      </c>
      <c r="E20" s="16"/>
      <c r="F20" s="2" t="s">
        <v>474</v>
      </c>
      <c r="G20" s="2">
        <v>780</v>
      </c>
      <c r="H20" s="2" t="s">
        <v>474</v>
      </c>
      <c r="I20" s="2">
        <f t="shared" si="3"/>
        <v>1560</v>
      </c>
      <c r="J20" s="2" t="s">
        <v>475</v>
      </c>
      <c r="K20" s="2">
        <v>11700</v>
      </c>
      <c r="L20" s="2" t="s">
        <v>476</v>
      </c>
      <c r="M20" s="2">
        <v>5</v>
      </c>
      <c r="N20" s="2" t="s">
        <v>477</v>
      </c>
      <c r="O20" s="2">
        <v>23</v>
      </c>
      <c r="P20" s="2" t="s">
        <v>477</v>
      </c>
      <c r="Q20" s="2">
        <f t="shared" si="4"/>
        <v>46</v>
      </c>
      <c r="R20" s="2" t="s">
        <v>478</v>
      </c>
      <c r="S20" s="2">
        <v>5</v>
      </c>
      <c r="T20" s="2">
        <v>20</v>
      </c>
      <c r="U20" s="2">
        <v>40</v>
      </c>
      <c r="V20" s="2">
        <v>60</v>
      </c>
      <c r="W20" s="2">
        <v>80</v>
      </c>
      <c r="X20" s="2">
        <v>100</v>
      </c>
      <c r="Y20" s="2">
        <v>120</v>
      </c>
      <c r="Z20" s="2">
        <v>140</v>
      </c>
      <c r="AA20" s="2">
        <v>150</v>
      </c>
    </row>
    <row r="21" spans="1:27" ht="16.5" customHeight="1">
      <c r="A21" s="7">
        <v>20</v>
      </c>
      <c r="B21" s="3" t="str">
        <f t="shared" si="0"/>
        <v>[20,40,60,80,100,120,140,150]</v>
      </c>
      <c r="C21" s="3" t="str">
        <f t="shared" si="1"/>
        <v>["None","Attack","Attack","AttackBonus","CriticalProbability","CriticalAttackBonus","CriticalAttackBonus","AwakeningAttackBonus"]</v>
      </c>
      <c r="D21" s="3" t="str">
        <f t="shared" si="2"/>
        <v>[0,840,1680,12600,5,24,48,5]</v>
      </c>
      <c r="E21" s="16"/>
      <c r="F21" s="2" t="s">
        <v>474</v>
      </c>
      <c r="G21" s="7">
        <v>840</v>
      </c>
      <c r="H21" s="2" t="s">
        <v>474</v>
      </c>
      <c r="I21" s="2">
        <f t="shared" si="3"/>
        <v>1680</v>
      </c>
      <c r="J21" s="2" t="s">
        <v>475</v>
      </c>
      <c r="K21" s="7">
        <v>12600</v>
      </c>
      <c r="L21" s="7" t="s">
        <v>476</v>
      </c>
      <c r="M21" s="2">
        <v>5</v>
      </c>
      <c r="N21" s="7" t="s">
        <v>477</v>
      </c>
      <c r="O21" s="2">
        <v>24</v>
      </c>
      <c r="P21" s="7" t="s">
        <v>477</v>
      </c>
      <c r="Q21" s="2">
        <f t="shared" si="4"/>
        <v>48</v>
      </c>
      <c r="R21" s="7" t="s">
        <v>478</v>
      </c>
      <c r="S21" s="7">
        <v>5</v>
      </c>
      <c r="T21" s="7">
        <v>20</v>
      </c>
      <c r="U21" s="7">
        <v>40</v>
      </c>
      <c r="V21" s="7">
        <v>60</v>
      </c>
      <c r="W21" s="7">
        <v>80</v>
      </c>
      <c r="X21" s="7">
        <v>100</v>
      </c>
      <c r="Y21" s="7">
        <v>120</v>
      </c>
      <c r="Z21" s="7">
        <v>140</v>
      </c>
      <c r="AA21" s="7">
        <v>150</v>
      </c>
    </row>
    <row r="22" spans="1:27" ht="16.5" customHeight="1">
      <c r="A22" s="2">
        <v>21</v>
      </c>
      <c r="B22" s="3" t="str">
        <f t="shared" si="0"/>
        <v>[20,40,60,80,100,120,140,150]</v>
      </c>
      <c r="C22" s="3" t="str">
        <f t="shared" si="1"/>
        <v>["None","Attack","Attack","AttackBonus","CriticalProbability","CriticalAttackBonus","CriticalAttackBonus","AwakeningAttackBonus"]</v>
      </c>
      <c r="D22" s="3" t="str">
        <f t="shared" si="2"/>
        <v>[0,1000,2000,15000,6,25,50,10]</v>
      </c>
      <c r="E22" s="16"/>
      <c r="F22" s="2" t="s">
        <v>474</v>
      </c>
      <c r="G22" s="2">
        <v>1000</v>
      </c>
      <c r="H22" s="2" t="s">
        <v>474</v>
      </c>
      <c r="I22" s="2">
        <f t="shared" si="3"/>
        <v>2000</v>
      </c>
      <c r="J22" s="2" t="s">
        <v>475</v>
      </c>
      <c r="K22" s="2">
        <v>15000</v>
      </c>
      <c r="L22" s="2" t="s">
        <v>476</v>
      </c>
      <c r="M22" s="2">
        <v>6</v>
      </c>
      <c r="N22" s="2" t="s">
        <v>477</v>
      </c>
      <c r="O22" s="2">
        <v>25</v>
      </c>
      <c r="P22" s="2" t="s">
        <v>477</v>
      </c>
      <c r="Q22" s="2">
        <f t="shared" si="4"/>
        <v>50</v>
      </c>
      <c r="R22" s="2" t="s">
        <v>478</v>
      </c>
      <c r="S22" s="2">
        <v>10</v>
      </c>
      <c r="T22" s="2">
        <v>20</v>
      </c>
      <c r="U22" s="2">
        <v>40</v>
      </c>
      <c r="V22" s="2">
        <v>60</v>
      </c>
      <c r="W22" s="2">
        <v>80</v>
      </c>
      <c r="X22" s="2">
        <v>100</v>
      </c>
      <c r="Y22" s="2">
        <v>120</v>
      </c>
      <c r="Z22" s="2">
        <v>140</v>
      </c>
      <c r="AA22" s="2">
        <v>150</v>
      </c>
    </row>
    <row r="23" spans="1:27" ht="16.5" customHeight="1">
      <c r="A23" s="2">
        <v>22</v>
      </c>
      <c r="B23" s="3" t="str">
        <f t="shared" si="0"/>
        <v>[20,40,60,80,100,120,140,150]</v>
      </c>
      <c r="C23" s="3" t="str">
        <f t="shared" si="1"/>
        <v>["None","Attack","Attack","AttackBonus","CriticalProbability","CriticalAttackBonus","CriticalAttackBonus","AwakeningAttackBonus"]</v>
      </c>
      <c r="D23" s="3" t="str">
        <f t="shared" si="2"/>
        <v>[0,1100,2200,16500,6,26,52,10]</v>
      </c>
      <c r="E23" s="16"/>
      <c r="F23" s="2" t="s">
        <v>474</v>
      </c>
      <c r="G23" s="2">
        <v>1100</v>
      </c>
      <c r="H23" s="2" t="s">
        <v>474</v>
      </c>
      <c r="I23" s="2">
        <f t="shared" si="3"/>
        <v>2200</v>
      </c>
      <c r="J23" s="2" t="s">
        <v>475</v>
      </c>
      <c r="K23" s="2">
        <v>16500</v>
      </c>
      <c r="L23" s="2" t="s">
        <v>476</v>
      </c>
      <c r="M23" s="2">
        <v>6</v>
      </c>
      <c r="N23" s="2" t="s">
        <v>477</v>
      </c>
      <c r="O23" s="2">
        <v>26</v>
      </c>
      <c r="P23" s="2" t="s">
        <v>477</v>
      </c>
      <c r="Q23" s="2">
        <f t="shared" si="4"/>
        <v>52</v>
      </c>
      <c r="R23" s="2" t="s">
        <v>478</v>
      </c>
      <c r="S23" s="2">
        <v>10</v>
      </c>
      <c r="T23" s="2">
        <v>20</v>
      </c>
      <c r="U23" s="2">
        <v>40</v>
      </c>
      <c r="V23" s="2">
        <v>60</v>
      </c>
      <c r="W23" s="2">
        <v>80</v>
      </c>
      <c r="X23" s="2">
        <v>100</v>
      </c>
      <c r="Y23" s="2">
        <v>120</v>
      </c>
      <c r="Z23" s="2">
        <v>140</v>
      </c>
      <c r="AA23" s="2">
        <v>150</v>
      </c>
    </row>
    <row r="24" spans="1:27" ht="16.5" customHeight="1">
      <c r="A24" s="2">
        <v>23</v>
      </c>
      <c r="B24" s="3" t="str">
        <f t="shared" si="0"/>
        <v>[20,40,60,80,100,120,140,150]</v>
      </c>
      <c r="C24" s="3" t="str">
        <f t="shared" si="1"/>
        <v>["None","Attack","Attack","AttackBonus","CriticalProbability","CriticalAttackBonus","CriticalAttackBonus","AwakeningAttackBonus"]</v>
      </c>
      <c r="D24" s="3" t="str">
        <f t="shared" si="2"/>
        <v>[0,1200,2400,18000,6,27,54,10]</v>
      </c>
      <c r="E24" s="16"/>
      <c r="F24" s="2" t="s">
        <v>474</v>
      </c>
      <c r="G24" s="2">
        <v>1200</v>
      </c>
      <c r="H24" s="2" t="s">
        <v>474</v>
      </c>
      <c r="I24" s="2">
        <f t="shared" si="3"/>
        <v>2400</v>
      </c>
      <c r="J24" s="2" t="s">
        <v>475</v>
      </c>
      <c r="K24" s="2">
        <v>18000</v>
      </c>
      <c r="L24" s="2" t="s">
        <v>476</v>
      </c>
      <c r="M24" s="2">
        <v>6</v>
      </c>
      <c r="N24" s="2" t="s">
        <v>477</v>
      </c>
      <c r="O24" s="2">
        <v>27</v>
      </c>
      <c r="P24" s="2" t="s">
        <v>477</v>
      </c>
      <c r="Q24" s="2">
        <f t="shared" si="4"/>
        <v>54</v>
      </c>
      <c r="R24" s="2" t="s">
        <v>478</v>
      </c>
      <c r="S24" s="2">
        <v>10</v>
      </c>
      <c r="T24" s="2">
        <v>20</v>
      </c>
      <c r="U24" s="2">
        <v>40</v>
      </c>
      <c r="V24" s="2">
        <v>60</v>
      </c>
      <c r="W24" s="2">
        <v>80</v>
      </c>
      <c r="X24" s="2">
        <v>100</v>
      </c>
      <c r="Y24" s="2">
        <v>120</v>
      </c>
      <c r="Z24" s="2">
        <v>140</v>
      </c>
      <c r="AA24" s="2">
        <v>150</v>
      </c>
    </row>
    <row r="25" spans="1:27" ht="16.5" customHeight="1">
      <c r="A25" s="2">
        <v>24</v>
      </c>
      <c r="B25" s="3" t="str">
        <f t="shared" si="0"/>
        <v>[20,40,60,80,100,120,140,150]</v>
      </c>
      <c r="C25" s="3" t="str">
        <f t="shared" si="1"/>
        <v>["None","Attack","Attack","AttackBonus","CriticalProbability","CriticalAttackBonus","CriticalAttackBonus","AwakeningAttackBonus"]</v>
      </c>
      <c r="D25" s="3" t="str">
        <f t="shared" si="2"/>
        <v>[0,1300,2600,19500,6,28,56,10]</v>
      </c>
      <c r="E25" s="16"/>
      <c r="F25" s="2" t="s">
        <v>474</v>
      </c>
      <c r="G25" s="2">
        <v>1300</v>
      </c>
      <c r="H25" s="2" t="s">
        <v>474</v>
      </c>
      <c r="I25" s="2">
        <f t="shared" si="3"/>
        <v>2600</v>
      </c>
      <c r="J25" s="2" t="s">
        <v>475</v>
      </c>
      <c r="K25" s="2">
        <v>19500</v>
      </c>
      <c r="L25" s="2" t="s">
        <v>476</v>
      </c>
      <c r="M25" s="2">
        <v>6</v>
      </c>
      <c r="N25" s="2" t="s">
        <v>477</v>
      </c>
      <c r="O25" s="2">
        <v>28</v>
      </c>
      <c r="P25" s="2" t="s">
        <v>477</v>
      </c>
      <c r="Q25" s="2">
        <f t="shared" si="4"/>
        <v>56</v>
      </c>
      <c r="R25" s="2" t="s">
        <v>478</v>
      </c>
      <c r="S25" s="2">
        <v>10</v>
      </c>
      <c r="T25" s="2">
        <v>20</v>
      </c>
      <c r="U25" s="2">
        <v>40</v>
      </c>
      <c r="V25" s="2">
        <v>60</v>
      </c>
      <c r="W25" s="2">
        <v>80</v>
      </c>
      <c r="X25" s="2">
        <v>100</v>
      </c>
      <c r="Y25" s="2">
        <v>120</v>
      </c>
      <c r="Z25" s="2">
        <v>140</v>
      </c>
      <c r="AA25" s="2">
        <v>150</v>
      </c>
    </row>
    <row r="26" spans="1:27" ht="16.5" customHeight="1">
      <c r="A26" s="8">
        <v>25</v>
      </c>
      <c r="B26" s="3" t="str">
        <f t="shared" si="0"/>
        <v>[20,40,60,80,100,120,140,150]</v>
      </c>
      <c r="C26" s="3" t="str">
        <f t="shared" si="1"/>
        <v>["None","Attack","Attack","AttackBonus","CriticalProbability","CriticalAttackBonus","CriticalAttackBonus","AwakeningAttackBonus"]</v>
      </c>
      <c r="D26" s="3" t="str">
        <f t="shared" si="2"/>
        <v>[0,1400,2800,21000,6,29,58,10]</v>
      </c>
      <c r="E26" s="16"/>
      <c r="F26" s="2" t="s">
        <v>474</v>
      </c>
      <c r="G26" s="8">
        <v>1400</v>
      </c>
      <c r="H26" s="2" t="s">
        <v>474</v>
      </c>
      <c r="I26" s="2">
        <f t="shared" si="3"/>
        <v>2800</v>
      </c>
      <c r="J26" s="2" t="s">
        <v>475</v>
      </c>
      <c r="K26" s="8">
        <v>21000</v>
      </c>
      <c r="L26" s="8" t="s">
        <v>476</v>
      </c>
      <c r="M26" s="2">
        <v>6</v>
      </c>
      <c r="N26" s="8" t="s">
        <v>477</v>
      </c>
      <c r="O26" s="2">
        <v>29</v>
      </c>
      <c r="P26" s="8" t="s">
        <v>477</v>
      </c>
      <c r="Q26" s="2">
        <f t="shared" si="4"/>
        <v>58</v>
      </c>
      <c r="R26" s="8" t="s">
        <v>478</v>
      </c>
      <c r="S26" s="8">
        <v>10</v>
      </c>
      <c r="T26" s="8">
        <v>20</v>
      </c>
      <c r="U26" s="8">
        <v>40</v>
      </c>
      <c r="V26" s="8">
        <v>60</v>
      </c>
      <c r="W26" s="8">
        <v>80</v>
      </c>
      <c r="X26" s="8">
        <v>100</v>
      </c>
      <c r="Y26" s="8">
        <v>120</v>
      </c>
      <c r="Z26" s="8">
        <v>140</v>
      </c>
      <c r="AA26" s="8">
        <v>150</v>
      </c>
    </row>
    <row r="27" spans="1:27" ht="16.5" customHeight="1">
      <c r="A27" s="2">
        <v>26</v>
      </c>
      <c r="B27" s="3" t="str">
        <f t="shared" si="0"/>
        <v>[20,40,60,80,100,120,140,150]</v>
      </c>
      <c r="C27" s="3" t="str">
        <f t="shared" si="1"/>
        <v>["None","Attack","Attack","AttackBonus","CriticalProbability","CriticalAttackBonus","CriticalAttackBonus","AwakeningAttackBonus"]</v>
      </c>
      <c r="D27" s="3" t="str">
        <f t="shared" si="2"/>
        <v>[0,1600,3200,24000,6,30,60,10]</v>
      </c>
      <c r="E27" s="16"/>
      <c r="F27" s="2" t="s">
        <v>474</v>
      </c>
      <c r="G27" s="2">
        <v>1600</v>
      </c>
      <c r="H27" s="2" t="s">
        <v>474</v>
      </c>
      <c r="I27" s="2">
        <f t="shared" si="3"/>
        <v>3200</v>
      </c>
      <c r="J27" s="2" t="s">
        <v>475</v>
      </c>
      <c r="K27" s="2">
        <v>24000</v>
      </c>
      <c r="L27" s="2" t="s">
        <v>476</v>
      </c>
      <c r="M27" s="2">
        <v>6</v>
      </c>
      <c r="N27" s="2" t="s">
        <v>477</v>
      </c>
      <c r="O27" s="2">
        <v>30</v>
      </c>
      <c r="P27" s="2" t="s">
        <v>477</v>
      </c>
      <c r="Q27" s="2">
        <f t="shared" si="4"/>
        <v>60</v>
      </c>
      <c r="R27" s="2" t="s">
        <v>478</v>
      </c>
      <c r="S27" s="2">
        <v>10</v>
      </c>
      <c r="T27" s="2">
        <v>20</v>
      </c>
      <c r="U27" s="2">
        <v>40</v>
      </c>
      <c r="V27" s="2">
        <v>60</v>
      </c>
      <c r="W27" s="2">
        <v>80</v>
      </c>
      <c r="X27" s="2">
        <v>100</v>
      </c>
      <c r="Y27" s="2">
        <v>120</v>
      </c>
      <c r="Z27" s="2">
        <v>140</v>
      </c>
      <c r="AA27" s="2">
        <v>150</v>
      </c>
    </row>
    <row r="28" spans="1:27" ht="16.5" customHeight="1">
      <c r="A28" s="2">
        <v>27</v>
      </c>
      <c r="B28" s="3" t="str">
        <f t="shared" si="0"/>
        <v>[20,40,60,80,100,120,140,150]</v>
      </c>
      <c r="C28" s="3" t="str">
        <f t="shared" si="1"/>
        <v>["None","Attack","Attack","AttackBonus","CriticalProbability","CriticalAttackBonus","CriticalAttackBonus","AwakeningAttackBonus"]</v>
      </c>
      <c r="D28" s="3" t="str">
        <f t="shared" si="2"/>
        <v>[0,1800,3600,27000,6,31,62,10]</v>
      </c>
      <c r="E28" s="16"/>
      <c r="F28" s="2" t="s">
        <v>474</v>
      </c>
      <c r="G28" s="2">
        <v>1800</v>
      </c>
      <c r="H28" s="2" t="s">
        <v>474</v>
      </c>
      <c r="I28" s="2">
        <f t="shared" si="3"/>
        <v>3600</v>
      </c>
      <c r="J28" s="2" t="s">
        <v>475</v>
      </c>
      <c r="K28" s="2">
        <v>27000</v>
      </c>
      <c r="L28" s="2" t="s">
        <v>476</v>
      </c>
      <c r="M28" s="2">
        <v>6</v>
      </c>
      <c r="N28" s="2" t="s">
        <v>477</v>
      </c>
      <c r="O28" s="2">
        <v>31</v>
      </c>
      <c r="P28" s="2" t="s">
        <v>477</v>
      </c>
      <c r="Q28" s="2">
        <f t="shared" si="4"/>
        <v>62</v>
      </c>
      <c r="R28" s="2" t="s">
        <v>478</v>
      </c>
      <c r="S28" s="2">
        <v>10</v>
      </c>
      <c r="T28" s="2">
        <v>20</v>
      </c>
      <c r="U28" s="2">
        <v>40</v>
      </c>
      <c r="V28" s="2">
        <v>60</v>
      </c>
      <c r="W28" s="2">
        <v>80</v>
      </c>
      <c r="X28" s="2">
        <v>100</v>
      </c>
      <c r="Y28" s="2">
        <v>120</v>
      </c>
      <c r="Z28" s="2">
        <v>140</v>
      </c>
      <c r="AA28" s="2">
        <v>150</v>
      </c>
    </row>
    <row r="29" spans="1:27" ht="16.5" customHeight="1">
      <c r="A29" s="2">
        <v>28</v>
      </c>
      <c r="B29" s="3" t="str">
        <f t="shared" si="0"/>
        <v>[20,40,60,80,100,120,140,150]</v>
      </c>
      <c r="C29" s="3" t="str">
        <f t="shared" si="1"/>
        <v>["None","Attack","Attack","AttackBonus","CriticalProbability","CriticalAttackBonus","CriticalAttackBonus","AwakeningAttackBonus"]</v>
      </c>
      <c r="D29" s="3" t="str">
        <f t="shared" si="2"/>
        <v>[0,2000,4000,30000,6,32,64,10]</v>
      </c>
      <c r="E29" s="16"/>
      <c r="F29" s="2" t="s">
        <v>474</v>
      </c>
      <c r="G29" s="2">
        <v>2000</v>
      </c>
      <c r="H29" s="2" t="s">
        <v>474</v>
      </c>
      <c r="I29" s="2">
        <f t="shared" si="3"/>
        <v>4000</v>
      </c>
      <c r="J29" s="2" t="s">
        <v>475</v>
      </c>
      <c r="K29" s="2">
        <v>30000</v>
      </c>
      <c r="L29" s="2" t="s">
        <v>476</v>
      </c>
      <c r="M29" s="2">
        <v>6</v>
      </c>
      <c r="N29" s="2" t="s">
        <v>477</v>
      </c>
      <c r="O29" s="2">
        <v>32</v>
      </c>
      <c r="P29" s="2" t="s">
        <v>477</v>
      </c>
      <c r="Q29" s="2">
        <f t="shared" si="4"/>
        <v>64</v>
      </c>
      <c r="R29" s="2" t="s">
        <v>478</v>
      </c>
      <c r="S29" s="2">
        <v>10</v>
      </c>
      <c r="T29" s="2">
        <v>20</v>
      </c>
      <c r="U29" s="2">
        <v>40</v>
      </c>
      <c r="V29" s="2">
        <v>60</v>
      </c>
      <c r="W29" s="2">
        <v>80</v>
      </c>
      <c r="X29" s="2">
        <v>100</v>
      </c>
      <c r="Y29" s="2">
        <v>120</v>
      </c>
      <c r="Z29" s="2">
        <v>140</v>
      </c>
      <c r="AA29" s="2">
        <v>150</v>
      </c>
    </row>
    <row r="30" spans="1:27" ht="16.5" customHeight="1">
      <c r="A30" s="2">
        <v>29</v>
      </c>
      <c r="B30" s="3" t="str">
        <f t="shared" si="0"/>
        <v>[20,40,60,80,100,120,140,150]</v>
      </c>
      <c r="C30" s="3" t="str">
        <f t="shared" si="1"/>
        <v>["None","Attack","Attack","AttackBonus","CriticalProbability","CriticalAttackBonus","CriticalAttackBonus","AwakeningAttackBonus"]</v>
      </c>
      <c r="D30" s="3" t="str">
        <f t="shared" si="2"/>
        <v>[0,2200,4400,33000,6,33,66,10]</v>
      </c>
      <c r="E30" s="16"/>
      <c r="F30" s="2" t="s">
        <v>474</v>
      </c>
      <c r="G30" s="2">
        <v>2200</v>
      </c>
      <c r="H30" s="2" t="s">
        <v>474</v>
      </c>
      <c r="I30" s="2">
        <f t="shared" si="3"/>
        <v>4400</v>
      </c>
      <c r="J30" s="2" t="s">
        <v>475</v>
      </c>
      <c r="K30" s="2">
        <v>33000</v>
      </c>
      <c r="L30" s="2" t="s">
        <v>476</v>
      </c>
      <c r="M30" s="2">
        <v>6</v>
      </c>
      <c r="N30" s="2" t="s">
        <v>477</v>
      </c>
      <c r="O30" s="2">
        <v>33</v>
      </c>
      <c r="P30" s="2" t="s">
        <v>477</v>
      </c>
      <c r="Q30" s="2">
        <f t="shared" si="4"/>
        <v>66</v>
      </c>
      <c r="R30" s="2" t="s">
        <v>478</v>
      </c>
      <c r="S30" s="2">
        <v>10</v>
      </c>
      <c r="T30" s="2">
        <v>20</v>
      </c>
      <c r="U30" s="2">
        <v>40</v>
      </c>
      <c r="V30" s="2">
        <v>60</v>
      </c>
      <c r="W30" s="2">
        <v>80</v>
      </c>
      <c r="X30" s="2">
        <v>100</v>
      </c>
      <c r="Y30" s="2">
        <v>120</v>
      </c>
      <c r="Z30" s="2">
        <v>140</v>
      </c>
      <c r="AA30" s="2">
        <v>150</v>
      </c>
    </row>
    <row r="31" spans="1:27" ht="16.5" customHeight="1">
      <c r="A31" s="8">
        <v>30</v>
      </c>
      <c r="B31" s="3" t="str">
        <f t="shared" si="0"/>
        <v>[20,40,60,80,100,120,140,150]</v>
      </c>
      <c r="C31" s="3" t="str">
        <f t="shared" si="1"/>
        <v>["None","Attack","Attack","AttackBonus","CriticalProbability","CriticalAttackBonus","CriticalAttackBonus","AwakeningAttackBonus"]</v>
      </c>
      <c r="D31" s="3" t="str">
        <f t="shared" si="2"/>
        <v>[0,2400,4800,36000,6,34,68,10]</v>
      </c>
      <c r="E31" s="16"/>
      <c r="F31" s="2" t="s">
        <v>474</v>
      </c>
      <c r="G31" s="8">
        <v>2400</v>
      </c>
      <c r="H31" s="2" t="s">
        <v>474</v>
      </c>
      <c r="I31" s="2">
        <f t="shared" si="3"/>
        <v>4800</v>
      </c>
      <c r="J31" s="2" t="s">
        <v>475</v>
      </c>
      <c r="K31" s="8">
        <v>36000</v>
      </c>
      <c r="L31" s="8" t="s">
        <v>476</v>
      </c>
      <c r="M31" s="2">
        <v>6</v>
      </c>
      <c r="N31" s="8" t="s">
        <v>477</v>
      </c>
      <c r="O31" s="2">
        <v>34</v>
      </c>
      <c r="P31" s="8" t="s">
        <v>477</v>
      </c>
      <c r="Q31" s="2">
        <f t="shared" si="4"/>
        <v>68</v>
      </c>
      <c r="R31" s="8" t="s">
        <v>478</v>
      </c>
      <c r="S31" s="8">
        <v>10</v>
      </c>
      <c r="T31" s="8">
        <v>20</v>
      </c>
      <c r="U31" s="8">
        <v>40</v>
      </c>
      <c r="V31" s="8">
        <v>60</v>
      </c>
      <c r="W31" s="8">
        <v>80</v>
      </c>
      <c r="X31" s="8">
        <v>100</v>
      </c>
      <c r="Y31" s="8">
        <v>120</v>
      </c>
      <c r="Z31" s="8">
        <v>140</v>
      </c>
      <c r="AA31" s="8">
        <v>150</v>
      </c>
    </row>
    <row r="32" spans="1:27" ht="16.5" customHeight="1">
      <c r="A32" s="2">
        <v>31</v>
      </c>
      <c r="B32" s="3" t="str">
        <f t="shared" si="0"/>
        <v>[20,40,60,80,100,120,140,150]</v>
      </c>
      <c r="C32" s="3" t="str">
        <f t="shared" si="1"/>
        <v>["None","Attack","Attack","AttackBonus","CriticalProbability","CriticalAttackBonus","CriticalAttackBonus","AwakeningAttackBonus"]</v>
      </c>
      <c r="D32" s="3" t="str">
        <f t="shared" si="2"/>
        <v>[0,3000,6000,45000,7,35,70,15]</v>
      </c>
      <c r="E32" s="16"/>
      <c r="F32" s="2" t="s">
        <v>474</v>
      </c>
      <c r="G32" s="2">
        <v>3000</v>
      </c>
      <c r="H32" s="2" t="s">
        <v>474</v>
      </c>
      <c r="I32" s="2">
        <f t="shared" si="3"/>
        <v>6000</v>
      </c>
      <c r="J32" s="2" t="s">
        <v>475</v>
      </c>
      <c r="K32" s="2">
        <v>45000</v>
      </c>
      <c r="L32" s="2" t="s">
        <v>476</v>
      </c>
      <c r="M32" s="2">
        <v>7</v>
      </c>
      <c r="N32" s="2" t="s">
        <v>477</v>
      </c>
      <c r="O32" s="2">
        <v>35</v>
      </c>
      <c r="P32" s="2" t="s">
        <v>477</v>
      </c>
      <c r="Q32" s="2">
        <f t="shared" si="4"/>
        <v>70</v>
      </c>
      <c r="R32" s="2" t="s">
        <v>478</v>
      </c>
      <c r="S32" s="2">
        <v>15</v>
      </c>
      <c r="T32" s="2">
        <v>20</v>
      </c>
      <c r="U32" s="2">
        <v>40</v>
      </c>
      <c r="V32" s="2">
        <v>60</v>
      </c>
      <c r="W32" s="2">
        <v>80</v>
      </c>
      <c r="X32" s="2">
        <v>100</v>
      </c>
      <c r="Y32" s="2">
        <v>120</v>
      </c>
      <c r="Z32" s="2">
        <v>140</v>
      </c>
      <c r="AA32" s="2">
        <v>150</v>
      </c>
    </row>
    <row r="33" spans="1:27" ht="16.5" customHeight="1">
      <c r="A33" s="2">
        <v>32</v>
      </c>
      <c r="B33" s="3" t="str">
        <f t="shared" si="0"/>
        <v>[20,40,60,80,100,120,140,150]</v>
      </c>
      <c r="C33" s="3" t="str">
        <f t="shared" si="1"/>
        <v>["None","Attack","Attack","AttackBonus","CriticalProbability","CriticalAttackBonus","CriticalAttackBonus","AwakeningAttackBonus"]</v>
      </c>
      <c r="D33" s="3" t="str">
        <f t="shared" si="2"/>
        <v>[0,3600,7200,54000,7,36,72,15]</v>
      </c>
      <c r="E33" s="16"/>
      <c r="F33" s="2" t="s">
        <v>474</v>
      </c>
      <c r="G33" s="2">
        <v>3600</v>
      </c>
      <c r="H33" s="2" t="s">
        <v>474</v>
      </c>
      <c r="I33" s="2">
        <f t="shared" si="3"/>
        <v>7200</v>
      </c>
      <c r="J33" s="2" t="s">
        <v>475</v>
      </c>
      <c r="K33" s="2">
        <v>54000</v>
      </c>
      <c r="L33" s="2" t="s">
        <v>476</v>
      </c>
      <c r="M33" s="2">
        <v>7</v>
      </c>
      <c r="N33" s="2" t="s">
        <v>477</v>
      </c>
      <c r="O33" s="2">
        <v>36</v>
      </c>
      <c r="P33" s="2" t="s">
        <v>477</v>
      </c>
      <c r="Q33" s="2">
        <f t="shared" si="4"/>
        <v>72</v>
      </c>
      <c r="R33" s="2" t="s">
        <v>478</v>
      </c>
      <c r="S33" s="2">
        <v>15</v>
      </c>
      <c r="T33" s="2">
        <v>20</v>
      </c>
      <c r="U33" s="2">
        <v>40</v>
      </c>
      <c r="V33" s="2">
        <v>60</v>
      </c>
      <c r="W33" s="2">
        <v>80</v>
      </c>
      <c r="X33" s="2">
        <v>100</v>
      </c>
      <c r="Y33" s="2">
        <v>120</v>
      </c>
      <c r="Z33" s="2">
        <v>140</v>
      </c>
      <c r="AA33" s="2">
        <v>150</v>
      </c>
    </row>
    <row r="34" spans="1:27" ht="16.5" customHeight="1">
      <c r="A34" s="2">
        <v>33</v>
      </c>
      <c r="B34" s="3" t="str">
        <f t="shared" si="0"/>
        <v>[20,40,60,80,100,120,140,150]</v>
      </c>
      <c r="C34" s="3" t="str">
        <f t="shared" si="1"/>
        <v>["None","Attack","Attack","AttackBonus","CriticalProbability","CriticalAttackBonus","CriticalAttackBonus","AwakeningAttackBonus"]</v>
      </c>
      <c r="D34" s="3" t="str">
        <f t="shared" si="2"/>
        <v>[0,4200,8400,63000,7,37,74,15]</v>
      </c>
      <c r="E34" s="16"/>
      <c r="F34" s="2" t="s">
        <v>474</v>
      </c>
      <c r="G34" s="2">
        <v>4200</v>
      </c>
      <c r="H34" s="2" t="s">
        <v>474</v>
      </c>
      <c r="I34" s="2">
        <f t="shared" si="3"/>
        <v>8400</v>
      </c>
      <c r="J34" s="2" t="s">
        <v>475</v>
      </c>
      <c r="K34" s="2">
        <v>63000</v>
      </c>
      <c r="L34" s="2" t="s">
        <v>476</v>
      </c>
      <c r="M34" s="2">
        <v>7</v>
      </c>
      <c r="N34" s="2" t="s">
        <v>477</v>
      </c>
      <c r="O34" s="2">
        <v>37</v>
      </c>
      <c r="P34" s="2" t="s">
        <v>477</v>
      </c>
      <c r="Q34" s="2">
        <f t="shared" si="4"/>
        <v>74</v>
      </c>
      <c r="R34" s="2" t="s">
        <v>478</v>
      </c>
      <c r="S34" s="2">
        <v>15</v>
      </c>
      <c r="T34" s="2">
        <v>20</v>
      </c>
      <c r="U34" s="2">
        <v>40</v>
      </c>
      <c r="V34" s="2">
        <v>60</v>
      </c>
      <c r="W34" s="2">
        <v>80</v>
      </c>
      <c r="X34" s="2">
        <v>100</v>
      </c>
      <c r="Y34" s="2">
        <v>120</v>
      </c>
      <c r="Z34" s="2">
        <v>140</v>
      </c>
      <c r="AA34" s="2">
        <v>150</v>
      </c>
    </row>
    <row r="35" spans="1:27" ht="16.5" customHeight="1">
      <c r="A35" s="2">
        <v>34</v>
      </c>
      <c r="B35" s="3" t="str">
        <f t="shared" si="0"/>
        <v>[20,40,60,80,100,120,140,150]</v>
      </c>
      <c r="C35" s="3" t="str">
        <f t="shared" si="1"/>
        <v>["None","Attack","Attack","AttackBonus","CriticalProbability","CriticalAttackBonus","CriticalAttackBonus","AwakeningAttackBonus"]</v>
      </c>
      <c r="D35" s="3" t="str">
        <f t="shared" si="2"/>
        <v>[0,4800,9600,72000,7,38,76,15]</v>
      </c>
      <c r="E35" s="16"/>
      <c r="F35" s="2" t="s">
        <v>474</v>
      </c>
      <c r="G35" s="2">
        <v>4800</v>
      </c>
      <c r="H35" s="2" t="s">
        <v>474</v>
      </c>
      <c r="I35" s="2">
        <f t="shared" si="3"/>
        <v>9600</v>
      </c>
      <c r="J35" s="2" t="s">
        <v>475</v>
      </c>
      <c r="K35" s="2">
        <v>72000</v>
      </c>
      <c r="L35" s="2" t="s">
        <v>476</v>
      </c>
      <c r="M35" s="2">
        <v>7</v>
      </c>
      <c r="N35" s="2" t="s">
        <v>477</v>
      </c>
      <c r="O35" s="2">
        <v>38</v>
      </c>
      <c r="P35" s="2" t="s">
        <v>477</v>
      </c>
      <c r="Q35" s="2">
        <f t="shared" si="4"/>
        <v>76</v>
      </c>
      <c r="R35" s="2" t="s">
        <v>478</v>
      </c>
      <c r="S35" s="2">
        <v>15</v>
      </c>
      <c r="T35" s="2">
        <v>20</v>
      </c>
      <c r="U35" s="2">
        <v>40</v>
      </c>
      <c r="V35" s="2">
        <v>60</v>
      </c>
      <c r="W35" s="2">
        <v>80</v>
      </c>
      <c r="X35" s="2">
        <v>100</v>
      </c>
      <c r="Y35" s="2">
        <v>120</v>
      </c>
      <c r="Z35" s="2">
        <v>140</v>
      </c>
      <c r="AA35" s="2">
        <v>150</v>
      </c>
    </row>
    <row r="36" spans="1:27" ht="16.5" customHeight="1">
      <c r="A36" s="9">
        <v>35</v>
      </c>
      <c r="B36" s="3" t="str">
        <f t="shared" si="0"/>
        <v>[20,40,60,80,100,120,140,150]</v>
      </c>
      <c r="C36" s="3" t="str">
        <f t="shared" si="1"/>
        <v>["None","Attack","Attack","AttackBonus","CriticalProbability","CriticalAttackBonus","CriticalAttackBonus","AwakeningAttackBonus"]</v>
      </c>
      <c r="D36" s="3" t="str">
        <f t="shared" si="2"/>
        <v>[0,6000,12000,90000,12,39,78,20]</v>
      </c>
      <c r="E36" s="16"/>
      <c r="F36" s="2" t="s">
        <v>474</v>
      </c>
      <c r="G36" s="9">
        <v>6000</v>
      </c>
      <c r="H36" s="2" t="s">
        <v>474</v>
      </c>
      <c r="I36" s="2">
        <f t="shared" si="3"/>
        <v>12000</v>
      </c>
      <c r="J36" s="2" t="s">
        <v>475</v>
      </c>
      <c r="K36" s="9">
        <v>90000</v>
      </c>
      <c r="L36" s="9" t="s">
        <v>476</v>
      </c>
      <c r="M36" s="2">
        <v>12</v>
      </c>
      <c r="N36" s="9" t="s">
        <v>477</v>
      </c>
      <c r="O36" s="2">
        <v>39</v>
      </c>
      <c r="P36" s="9" t="s">
        <v>477</v>
      </c>
      <c r="Q36" s="2">
        <f t="shared" si="4"/>
        <v>78</v>
      </c>
      <c r="R36" s="9" t="s">
        <v>478</v>
      </c>
      <c r="S36" s="9">
        <v>20</v>
      </c>
      <c r="T36" s="9">
        <v>20</v>
      </c>
      <c r="U36" s="9">
        <v>40</v>
      </c>
      <c r="V36" s="9">
        <v>60</v>
      </c>
      <c r="W36" s="9">
        <v>80</v>
      </c>
      <c r="X36" s="9">
        <v>100</v>
      </c>
      <c r="Y36" s="9">
        <v>120</v>
      </c>
      <c r="Z36" s="9">
        <v>140</v>
      </c>
      <c r="AA36" s="9">
        <v>150</v>
      </c>
    </row>
    <row r="37" spans="1:27">
      <c r="A37" s="3"/>
      <c r="B37" s="3"/>
      <c r="D37" s="23"/>
    </row>
    <row r="38" spans="1:27">
      <c r="M38" s="2"/>
      <c r="O38" s="2"/>
      <c r="Q38" s="24"/>
    </row>
  </sheetData>
  <phoneticPr fontId="1" type="noConversion"/>
  <pageMargins left="0.7" right="0.7" top="0.75" bottom="0.75" header="0.3" footer="0.3"/>
  <pageSetup paperSize="9" orientation="portrait" horizontalDpi="429496729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7"/>
  <sheetViews>
    <sheetView topLeftCell="E19" workbookViewId="0">
      <selection activeCell="U16" sqref="U16"/>
    </sheetView>
  </sheetViews>
  <sheetFormatPr defaultRowHeight="16.5" customHeight="1"/>
  <cols>
    <col min="1" max="1" width="3.3984375" customWidth="1"/>
    <col min="2" max="2" width="11.69921875" customWidth="1"/>
    <col min="3" max="3" width="26.09765625" customWidth="1"/>
    <col min="4" max="4" width="26" style="22" bestFit="1" customWidth="1"/>
    <col min="5" max="5" width="17.5" customWidth="1"/>
    <col min="6" max="6" width="9.19921875" bestFit="1" customWidth="1"/>
    <col min="7" max="7" width="7.3984375" bestFit="1" customWidth="1"/>
    <col min="8" max="8" width="7.8984375" bestFit="1" customWidth="1"/>
    <col min="9" max="9" width="7.3984375" bestFit="1" customWidth="1"/>
    <col min="10" max="10" width="8.5" bestFit="1" customWidth="1"/>
    <col min="11" max="11" width="7.5" bestFit="1" customWidth="1"/>
    <col min="12" max="12" width="13.3984375" customWidth="1"/>
    <col min="13" max="13" width="7.3984375" bestFit="1" customWidth="1"/>
    <col min="14" max="14" width="14.59765625" bestFit="1" customWidth="1"/>
    <col min="15" max="15" width="7.3984375" bestFit="1" customWidth="1"/>
    <col min="16" max="16" width="16.8984375" bestFit="1" customWidth="1"/>
    <col min="17" max="17" width="7.3984375" bestFit="1" customWidth="1"/>
    <col min="18" max="18" width="19.69921875" bestFit="1" customWidth="1"/>
    <col min="19" max="19" width="7.3984375" bestFit="1" customWidth="1"/>
    <col min="20" max="27" width="6.59765625" bestFit="1" customWidth="1"/>
  </cols>
  <sheetData>
    <row r="1" spans="1:27" ht="16.5" customHeight="1" thickBot="1">
      <c r="A1" s="1" t="s">
        <v>0</v>
      </c>
      <c r="B1" s="1" t="s">
        <v>456</v>
      </c>
      <c r="C1" s="1" t="s">
        <v>457</v>
      </c>
      <c r="D1" s="21" t="s">
        <v>458</v>
      </c>
      <c r="E1" s="1"/>
      <c r="F1" s="1" t="s">
        <v>459</v>
      </c>
      <c r="G1" s="1" t="s">
        <v>19</v>
      </c>
      <c r="H1" s="1" t="s">
        <v>460</v>
      </c>
      <c r="I1" s="1" t="s">
        <v>20</v>
      </c>
      <c r="J1" s="1" t="s">
        <v>461</v>
      </c>
      <c r="K1" s="1" t="s">
        <v>21</v>
      </c>
      <c r="L1" s="1" t="s">
        <v>462</v>
      </c>
      <c r="M1" s="1" t="s">
        <v>22</v>
      </c>
      <c r="N1" s="1" t="s">
        <v>463</v>
      </c>
      <c r="O1" s="1" t="s">
        <v>23</v>
      </c>
      <c r="P1" s="1" t="s">
        <v>464</v>
      </c>
      <c r="Q1" s="1" t="s">
        <v>24</v>
      </c>
      <c r="R1" s="1" t="s">
        <v>465</v>
      </c>
      <c r="S1" s="1" t="s">
        <v>25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  <c r="AA1" s="1" t="s">
        <v>473</v>
      </c>
    </row>
    <row r="2" spans="1:27" ht="16.5" customHeight="1">
      <c r="A2" s="2">
        <v>1</v>
      </c>
      <c r="B2" s="3" t="str">
        <f>"[" &amp; $T2 &amp; "," &amp;$U2 &amp; "," &amp;$V2 &amp; "," &amp; $W2 &amp; "," &amp;$X2&amp; "," &amp;$Y2 &amp; "," &amp;$Z2&amp; "," &amp;$AA2&amp; "]"</f>
        <v>[20,40,60,80,100,120,140,150]</v>
      </c>
      <c r="C2" s="3" t="str">
        <f>"[""None"",""" &amp; $F2 &amp; """,""" &amp;$H2 &amp; """,""" &amp;$J2 &amp; """,""" &amp; $L2 &amp; """,""" &amp;$N2&amp; """,""" &amp;$P2 &amp; """,""" &amp;$R2&amp; """]"</f>
        <v>["None","Hp","Hp","HpBonus","StageExpEarn","StageGoldEarn","StageGrowthEarn","AwakeningHpBonus"]</v>
      </c>
      <c r="D2" s="3" t="str">
        <f>"[0," &amp; $G2 &amp; "," &amp;$I2 &amp; "," &amp;$K2 &amp; "," &amp; $M2 &amp; "," &amp;$O2&amp; "," &amp;$Q2 &amp; "," &amp;$S2&amp; "]"</f>
        <v>[0,8000,16000,9000,500,500,10,5]</v>
      </c>
      <c r="E2" s="20"/>
      <c r="F2" s="2" t="s">
        <v>479</v>
      </c>
      <c r="G2" s="2">
        <v>8000</v>
      </c>
      <c r="H2" s="2" t="s">
        <v>479</v>
      </c>
      <c r="I2" s="2">
        <f t="shared" ref="I2:I36" si="0">G2*2</f>
        <v>16000</v>
      </c>
      <c r="J2" s="2" t="s">
        <v>480</v>
      </c>
      <c r="K2" s="2">
        <v>9000</v>
      </c>
      <c r="L2" s="2" t="s">
        <v>481</v>
      </c>
      <c r="M2" s="2">
        <v>500</v>
      </c>
      <c r="N2" s="2" t="s">
        <v>482</v>
      </c>
      <c r="O2" s="2">
        <v>500</v>
      </c>
      <c r="P2" s="2" t="s">
        <v>483</v>
      </c>
      <c r="Q2" s="2">
        <v>10</v>
      </c>
      <c r="R2" s="2" t="s">
        <v>484</v>
      </c>
      <c r="S2" s="2">
        <v>5</v>
      </c>
      <c r="T2" s="2">
        <v>20</v>
      </c>
      <c r="U2" s="2">
        <v>40</v>
      </c>
      <c r="V2" s="2">
        <v>60</v>
      </c>
      <c r="W2" s="2">
        <v>80</v>
      </c>
      <c r="X2" s="2">
        <v>100</v>
      </c>
      <c r="Y2" s="2">
        <v>120</v>
      </c>
      <c r="Z2" s="2">
        <v>140</v>
      </c>
      <c r="AA2" s="2">
        <v>150</v>
      </c>
    </row>
    <row r="3" spans="1:27" ht="16.5" customHeight="1">
      <c r="A3" s="2">
        <v>2</v>
      </c>
      <c r="B3" s="3" t="str">
        <f t="shared" ref="B3:B36" si="1">"[" &amp; $T3 &amp; "," &amp; $U3 &amp; "," &amp; $V3 &amp; "," &amp; $W3 &amp; "," &amp; $X3 &amp; "," &amp; $Y3 &amp; "," &amp; $Z3 &amp; "," &amp; $AA3 &amp;"]"</f>
        <v>[20,40,60,80,100,120,140,150]</v>
      </c>
      <c r="C3" s="3" t="str">
        <f>"[""None"",""" &amp; $F3 &amp; """,""" &amp; $H3 &amp; """,""" &amp;J3 &amp; """,""" &amp;$L3 &amp; """,""" &amp;$N3 &amp;  """,""" &amp;P3 &amp;  """,""" &amp; $R3 &amp; """]"</f>
        <v>["None","Hp","Hp","HpBonus","StageExpEarn","StageGoldEarn","StageGrowthEarn","AwakeningHpBonus"]</v>
      </c>
      <c r="D3" s="3" t="str">
        <f>"[0," &amp; $G3 &amp; "," &amp;$I3 &amp; "," &amp;$K3 &amp; "," &amp; $M3 &amp; "," &amp;$O3&amp; "," &amp;$Q3 &amp; "," &amp;$S3&amp; "]"</f>
        <v>[0,8000,16000,9150,500,500,10,5]</v>
      </c>
      <c r="E3" s="20"/>
      <c r="F3" s="2" t="s">
        <v>479</v>
      </c>
      <c r="G3" s="2">
        <v>8000</v>
      </c>
      <c r="H3" s="2" t="s">
        <v>479</v>
      </c>
      <c r="I3" s="2">
        <f t="shared" si="0"/>
        <v>16000</v>
      </c>
      <c r="J3" s="2" t="s">
        <v>480</v>
      </c>
      <c r="K3" s="2">
        <v>9150</v>
      </c>
      <c r="L3" s="2" t="s">
        <v>481</v>
      </c>
      <c r="M3" s="2">
        <v>500</v>
      </c>
      <c r="N3" s="2" t="s">
        <v>482</v>
      </c>
      <c r="O3" s="2">
        <v>500</v>
      </c>
      <c r="P3" s="2" t="s">
        <v>483</v>
      </c>
      <c r="Q3" s="2">
        <v>10</v>
      </c>
      <c r="R3" s="2" t="s">
        <v>484</v>
      </c>
      <c r="S3" s="2">
        <v>5</v>
      </c>
      <c r="T3" s="2">
        <v>20</v>
      </c>
      <c r="U3" s="2">
        <v>40</v>
      </c>
      <c r="V3" s="2">
        <v>60</v>
      </c>
      <c r="W3" s="2">
        <v>80</v>
      </c>
      <c r="X3" s="2">
        <v>100</v>
      </c>
      <c r="Y3" s="2">
        <v>120</v>
      </c>
      <c r="Z3" s="2">
        <v>140</v>
      </c>
      <c r="AA3" s="2">
        <v>150</v>
      </c>
    </row>
    <row r="4" spans="1:27" ht="16.5" customHeight="1">
      <c r="A4" s="2">
        <v>3</v>
      </c>
      <c r="B4" s="3" t="str">
        <f t="shared" si="1"/>
        <v>[20,40,60,80,100,120,140,150]</v>
      </c>
      <c r="C4" s="3" t="str">
        <f t="shared" ref="C4:C36" si="2">"[""None"",""" &amp; $F4 &amp; """,""" &amp; $H4 &amp; """,""" &amp;J4 &amp; """,""" &amp;$L4 &amp; """,""" &amp;$N4 &amp; """,""" &amp;P4 &amp; """,""" &amp; $R4 &amp; """]"</f>
        <v>["None","Hp","Hp","HpBonus","StageExpEarn","StageGoldEarn","StageGrowthEarn","AwakeningHpBonus"]</v>
      </c>
      <c r="D4" s="3" t="str">
        <f>"[0," &amp; $G4 &amp; "," &amp;$I4 &amp; "," &amp;$K4 &amp; "," &amp; $M4 &amp; "," &amp;$O4&amp; "," &amp;$Q4 &amp; "," &amp;$S4&amp; "]"</f>
        <v>[0,8000,16000,9300,500,500,10,5]</v>
      </c>
      <c r="E4" s="20"/>
      <c r="F4" s="2" t="s">
        <v>479</v>
      </c>
      <c r="G4" s="2">
        <v>8000</v>
      </c>
      <c r="H4" s="2" t="s">
        <v>479</v>
      </c>
      <c r="I4" s="2">
        <f t="shared" si="0"/>
        <v>16000</v>
      </c>
      <c r="J4" s="2" t="s">
        <v>480</v>
      </c>
      <c r="K4" s="2">
        <v>9300</v>
      </c>
      <c r="L4" s="2" t="s">
        <v>481</v>
      </c>
      <c r="M4" s="2">
        <v>500</v>
      </c>
      <c r="N4" s="2" t="s">
        <v>482</v>
      </c>
      <c r="O4" s="2">
        <v>500</v>
      </c>
      <c r="P4" s="2" t="s">
        <v>483</v>
      </c>
      <c r="Q4" s="2">
        <v>10</v>
      </c>
      <c r="R4" s="2" t="s">
        <v>484</v>
      </c>
      <c r="S4" s="2">
        <v>5</v>
      </c>
      <c r="T4" s="2">
        <v>20</v>
      </c>
      <c r="U4" s="2">
        <v>40</v>
      </c>
      <c r="V4" s="2">
        <v>60</v>
      </c>
      <c r="W4" s="2">
        <v>80</v>
      </c>
      <c r="X4" s="2">
        <v>100</v>
      </c>
      <c r="Y4" s="2">
        <v>120</v>
      </c>
      <c r="Z4" s="2">
        <v>140</v>
      </c>
      <c r="AA4" s="2">
        <v>150</v>
      </c>
    </row>
    <row r="5" spans="1:27" ht="16.5" customHeight="1">
      <c r="A5" s="2">
        <v>4</v>
      </c>
      <c r="B5" s="3" t="str">
        <f t="shared" si="1"/>
        <v>[20,40,60,80,100,120,140,150]</v>
      </c>
      <c r="C5" s="3" t="str">
        <f t="shared" si="2"/>
        <v>["None","Hp","Hp","HpBonus","StageExpEarn","StageGoldEarn","StageGrowthEarn","AwakeningHpBonus"]</v>
      </c>
      <c r="D5" s="3" t="str">
        <f>"[0," &amp; $G5 &amp; "," &amp;$I5 &amp; "," &amp;$K5 &amp; "," &amp; $M5 &amp; "," &amp;$O5&amp; "," &amp;$Q5 &amp; "," &amp;$S5&amp; "]"</f>
        <v>[0,8000,16000,9450,500,500,10,5]</v>
      </c>
      <c r="E5" s="20"/>
      <c r="F5" s="2" t="s">
        <v>479</v>
      </c>
      <c r="G5" s="2">
        <v>8000</v>
      </c>
      <c r="H5" s="2" t="s">
        <v>479</v>
      </c>
      <c r="I5" s="2">
        <f t="shared" si="0"/>
        <v>16000</v>
      </c>
      <c r="J5" s="2" t="s">
        <v>480</v>
      </c>
      <c r="K5" s="2">
        <v>9450</v>
      </c>
      <c r="L5" s="2" t="s">
        <v>481</v>
      </c>
      <c r="M5" s="2">
        <v>500</v>
      </c>
      <c r="N5" s="2" t="s">
        <v>482</v>
      </c>
      <c r="O5" s="2">
        <v>500</v>
      </c>
      <c r="P5" s="2" t="s">
        <v>483</v>
      </c>
      <c r="Q5" s="2">
        <v>10</v>
      </c>
      <c r="R5" s="2" t="s">
        <v>484</v>
      </c>
      <c r="S5" s="2">
        <v>5</v>
      </c>
      <c r="T5" s="2">
        <v>20</v>
      </c>
      <c r="U5" s="2">
        <v>40</v>
      </c>
      <c r="V5" s="2">
        <v>60</v>
      </c>
      <c r="W5" s="2">
        <v>80</v>
      </c>
      <c r="X5" s="2">
        <v>100</v>
      </c>
      <c r="Y5" s="2">
        <v>120</v>
      </c>
      <c r="Z5" s="2">
        <v>140</v>
      </c>
      <c r="AA5" s="2">
        <v>150</v>
      </c>
    </row>
    <row r="6" spans="1:27" ht="16.5" customHeight="1">
      <c r="A6" s="4">
        <v>5</v>
      </c>
      <c r="B6" s="3" t="str">
        <f t="shared" si="1"/>
        <v>[20,40,60,80,100,120,140,150]</v>
      </c>
      <c r="C6" s="3" t="str">
        <f t="shared" si="2"/>
        <v>["None","Hp","Hp","HpBonus","StageExpEarn","StageGoldEarn","StageGrowthEarn","AwakeningHpBonus"]</v>
      </c>
      <c r="D6" s="23" t="str">
        <f>"[0," &amp; G6 &amp; "," &amp; $I6 &amp; "," &amp; $K6 &amp; "," &amp; $M6 &amp; "," &amp; $O6 &amp; "," &amp; $Q6 &amp;  "," &amp; $S6 &amp; "]"</f>
        <v>[0,10000,20000,9600,500,500,10,5]</v>
      </c>
      <c r="E6" s="20"/>
      <c r="F6" s="2" t="s">
        <v>479</v>
      </c>
      <c r="G6" s="2">
        <v>10000</v>
      </c>
      <c r="H6" s="2" t="s">
        <v>479</v>
      </c>
      <c r="I6" s="2">
        <f t="shared" si="0"/>
        <v>20000</v>
      </c>
      <c r="J6" s="2" t="s">
        <v>480</v>
      </c>
      <c r="K6" s="2">
        <v>9600</v>
      </c>
      <c r="L6" s="4" t="s">
        <v>481</v>
      </c>
      <c r="M6" s="2">
        <v>500</v>
      </c>
      <c r="N6" s="4" t="s">
        <v>482</v>
      </c>
      <c r="O6" s="2">
        <v>500</v>
      </c>
      <c r="P6" s="4" t="s">
        <v>483</v>
      </c>
      <c r="Q6" s="2">
        <v>10</v>
      </c>
      <c r="R6" s="4" t="s">
        <v>484</v>
      </c>
      <c r="S6" s="4">
        <v>5</v>
      </c>
      <c r="T6" s="4">
        <v>20</v>
      </c>
      <c r="U6" s="4">
        <v>40</v>
      </c>
      <c r="V6" s="4">
        <v>60</v>
      </c>
      <c r="W6" s="4">
        <v>80</v>
      </c>
      <c r="X6" s="4">
        <v>100</v>
      </c>
      <c r="Y6" s="4">
        <v>120</v>
      </c>
      <c r="Z6" s="4">
        <v>140</v>
      </c>
      <c r="AA6" s="4">
        <v>150</v>
      </c>
    </row>
    <row r="7" spans="1:27" ht="16.5" customHeight="1">
      <c r="A7" s="2">
        <v>6</v>
      </c>
      <c r="B7" s="3" t="str">
        <f t="shared" si="1"/>
        <v>[20,40,60,80,100,120,140,150]</v>
      </c>
      <c r="C7" s="3" t="str">
        <f t="shared" si="2"/>
        <v>["None","Hp","Hp","HpBonus","StageExpEarn","StageGoldEarn","StageGrowthEarn","AwakeningHpBonus"]</v>
      </c>
      <c r="D7" s="23" t="str">
        <f t="shared" ref="D7:D36" si="3">"[0," &amp; G7 &amp; "," &amp; $I7 &amp; "," &amp; $K7 &amp; "," &amp; $M7 &amp; "," &amp; $O7 &amp; "," &amp; $Q7 &amp; "," &amp; $S7 &amp; "]"</f>
        <v>[0,11000,22000,9750,500,500,10,5]</v>
      </c>
      <c r="E7" s="20"/>
      <c r="F7" s="2" t="s">
        <v>479</v>
      </c>
      <c r="G7" s="2">
        <v>11000</v>
      </c>
      <c r="H7" s="2" t="s">
        <v>479</v>
      </c>
      <c r="I7" s="2">
        <f t="shared" si="0"/>
        <v>22000</v>
      </c>
      <c r="J7" s="2" t="s">
        <v>480</v>
      </c>
      <c r="K7" s="2">
        <v>9750</v>
      </c>
      <c r="L7" s="2" t="s">
        <v>481</v>
      </c>
      <c r="M7" s="2">
        <v>500</v>
      </c>
      <c r="N7" s="2" t="s">
        <v>482</v>
      </c>
      <c r="O7" s="2">
        <v>500</v>
      </c>
      <c r="P7" s="2" t="s">
        <v>483</v>
      </c>
      <c r="Q7" s="2">
        <v>10</v>
      </c>
      <c r="R7" s="2" t="s">
        <v>484</v>
      </c>
      <c r="S7" s="2">
        <v>5</v>
      </c>
      <c r="T7" s="2">
        <v>20</v>
      </c>
      <c r="U7" s="2">
        <v>40</v>
      </c>
      <c r="V7" s="2">
        <v>60</v>
      </c>
      <c r="W7" s="2">
        <v>80</v>
      </c>
      <c r="X7" s="2">
        <v>100</v>
      </c>
      <c r="Y7" s="2">
        <v>120</v>
      </c>
      <c r="Z7" s="2">
        <v>140</v>
      </c>
      <c r="AA7" s="2">
        <v>150</v>
      </c>
    </row>
    <row r="8" spans="1:27" ht="16.5" customHeight="1">
      <c r="A8" s="2">
        <v>7</v>
      </c>
      <c r="B8" s="3" t="str">
        <f t="shared" si="1"/>
        <v>[20,40,60,80,100,120,140,150]</v>
      </c>
      <c r="C8" s="3" t="str">
        <f t="shared" si="2"/>
        <v>["None","Hp","Hp","HpBonus","StageExpEarn","StageGoldEarn","StageGrowthEarn","AwakeningHpBonus"]</v>
      </c>
      <c r="D8" s="23" t="str">
        <f t="shared" si="3"/>
        <v>[0,12000,24000,9900,500,500,10,5]</v>
      </c>
      <c r="E8" s="20"/>
      <c r="F8" s="2" t="s">
        <v>479</v>
      </c>
      <c r="G8" s="2">
        <v>12000</v>
      </c>
      <c r="H8" s="2" t="s">
        <v>479</v>
      </c>
      <c r="I8" s="2">
        <f t="shared" si="0"/>
        <v>24000</v>
      </c>
      <c r="J8" s="2" t="s">
        <v>480</v>
      </c>
      <c r="K8" s="2">
        <v>9900</v>
      </c>
      <c r="L8" s="2" t="s">
        <v>481</v>
      </c>
      <c r="M8" s="2">
        <v>500</v>
      </c>
      <c r="N8" s="2" t="s">
        <v>482</v>
      </c>
      <c r="O8" s="2">
        <v>500</v>
      </c>
      <c r="P8" s="2" t="s">
        <v>483</v>
      </c>
      <c r="Q8" s="2">
        <v>10</v>
      </c>
      <c r="R8" s="2" t="s">
        <v>484</v>
      </c>
      <c r="S8" s="2">
        <v>5</v>
      </c>
      <c r="T8" s="2">
        <v>20</v>
      </c>
      <c r="U8" s="2">
        <v>40</v>
      </c>
      <c r="V8" s="2">
        <v>60</v>
      </c>
      <c r="W8" s="2">
        <v>80</v>
      </c>
      <c r="X8" s="2">
        <v>100</v>
      </c>
      <c r="Y8" s="2">
        <v>120</v>
      </c>
      <c r="Z8" s="2">
        <v>140</v>
      </c>
      <c r="AA8" s="2">
        <v>150</v>
      </c>
    </row>
    <row r="9" spans="1:27" ht="16.5" customHeight="1">
      <c r="A9" s="2">
        <v>8</v>
      </c>
      <c r="B9" s="3" t="str">
        <f t="shared" si="1"/>
        <v>[20,40,60,80,100,120,140,150]</v>
      </c>
      <c r="C9" s="3" t="str">
        <f t="shared" si="2"/>
        <v>["None","Hp","Hp","HpBonus","StageExpEarn","StageGoldEarn","StageGrowthEarn","AwakeningHpBonus"]</v>
      </c>
      <c r="D9" s="23" t="str">
        <f t="shared" si="3"/>
        <v>[0,13000,26000,10050,500,500,10,5]</v>
      </c>
      <c r="E9" s="20"/>
      <c r="F9" s="2" t="s">
        <v>479</v>
      </c>
      <c r="G9" s="2">
        <v>13000</v>
      </c>
      <c r="H9" s="2" t="s">
        <v>479</v>
      </c>
      <c r="I9" s="2">
        <f t="shared" si="0"/>
        <v>26000</v>
      </c>
      <c r="J9" s="2" t="s">
        <v>480</v>
      </c>
      <c r="K9" s="2">
        <v>10050</v>
      </c>
      <c r="L9" s="2" t="s">
        <v>481</v>
      </c>
      <c r="M9" s="2">
        <v>500</v>
      </c>
      <c r="N9" s="2" t="s">
        <v>482</v>
      </c>
      <c r="O9" s="2">
        <v>500</v>
      </c>
      <c r="P9" s="2" t="s">
        <v>483</v>
      </c>
      <c r="Q9" s="2">
        <v>10</v>
      </c>
      <c r="R9" s="2" t="s">
        <v>484</v>
      </c>
      <c r="S9" s="2">
        <v>5</v>
      </c>
      <c r="T9" s="2">
        <v>20</v>
      </c>
      <c r="U9" s="2">
        <v>40</v>
      </c>
      <c r="V9" s="2">
        <v>60</v>
      </c>
      <c r="W9" s="2">
        <v>80</v>
      </c>
      <c r="X9" s="2">
        <v>100</v>
      </c>
      <c r="Y9" s="2">
        <v>120</v>
      </c>
      <c r="Z9" s="2">
        <v>140</v>
      </c>
      <c r="AA9" s="2">
        <v>150</v>
      </c>
    </row>
    <row r="10" spans="1:27" ht="16.5" customHeight="1">
      <c r="A10" s="2">
        <v>9</v>
      </c>
      <c r="B10" s="3" t="str">
        <f t="shared" si="1"/>
        <v>[20,40,60,80,100,120,140,150]</v>
      </c>
      <c r="C10" s="3" t="str">
        <f t="shared" si="2"/>
        <v>["None","Hp","Hp","HpBonus","StageExpEarn","StageGoldEarn","StageGrowthEarn","AwakeningHpBonus"]</v>
      </c>
      <c r="D10" s="23" t="str">
        <f t="shared" si="3"/>
        <v>[0,14000,28000,10200,500,500,10,5]</v>
      </c>
      <c r="E10" s="20"/>
      <c r="F10" s="2" t="s">
        <v>479</v>
      </c>
      <c r="G10" s="2">
        <v>14000</v>
      </c>
      <c r="H10" s="2" t="s">
        <v>479</v>
      </c>
      <c r="I10" s="2">
        <f t="shared" si="0"/>
        <v>28000</v>
      </c>
      <c r="J10" s="2" t="s">
        <v>480</v>
      </c>
      <c r="K10" s="2">
        <v>10200</v>
      </c>
      <c r="L10" s="2" t="s">
        <v>481</v>
      </c>
      <c r="M10" s="2">
        <v>500</v>
      </c>
      <c r="N10" s="2" t="s">
        <v>482</v>
      </c>
      <c r="O10" s="2">
        <v>500</v>
      </c>
      <c r="P10" s="2" t="s">
        <v>483</v>
      </c>
      <c r="Q10" s="2">
        <v>10</v>
      </c>
      <c r="R10" s="2" t="s">
        <v>484</v>
      </c>
      <c r="S10" s="2">
        <v>5</v>
      </c>
      <c r="T10" s="2">
        <v>20</v>
      </c>
      <c r="U10" s="2">
        <v>40</v>
      </c>
      <c r="V10" s="2">
        <v>60</v>
      </c>
      <c r="W10" s="2">
        <v>80</v>
      </c>
      <c r="X10" s="2">
        <v>100</v>
      </c>
      <c r="Y10" s="2">
        <v>120</v>
      </c>
      <c r="Z10" s="2">
        <v>140</v>
      </c>
      <c r="AA10" s="2">
        <v>150</v>
      </c>
    </row>
    <row r="11" spans="1:27" ht="16.5" customHeight="1">
      <c r="A11" s="5">
        <v>10</v>
      </c>
      <c r="B11" s="3" t="str">
        <f t="shared" si="1"/>
        <v>[20,40,60,80,100,120,140,150]</v>
      </c>
      <c r="C11" s="3" t="str">
        <f t="shared" si="2"/>
        <v>["None","Hp","Hp","HpBonus","StageExpEarn","StageGoldEarn","StageGrowthEarn","AwakeningHpBonus"]</v>
      </c>
      <c r="D11" s="23" t="str">
        <f t="shared" si="3"/>
        <v>[0,15000,30000,10350,500,500,10,5]</v>
      </c>
      <c r="E11" s="20"/>
      <c r="F11" s="2" t="s">
        <v>479</v>
      </c>
      <c r="G11" s="2">
        <v>15000</v>
      </c>
      <c r="H11" s="2" t="s">
        <v>479</v>
      </c>
      <c r="I11" s="2">
        <f t="shared" si="0"/>
        <v>30000</v>
      </c>
      <c r="J11" s="2" t="s">
        <v>480</v>
      </c>
      <c r="K11" s="2">
        <v>10350</v>
      </c>
      <c r="L11" s="5" t="s">
        <v>481</v>
      </c>
      <c r="M11" s="2">
        <v>500</v>
      </c>
      <c r="N11" s="5" t="s">
        <v>482</v>
      </c>
      <c r="O11" s="2">
        <v>500</v>
      </c>
      <c r="P11" s="5" t="s">
        <v>483</v>
      </c>
      <c r="Q11" s="2">
        <v>10</v>
      </c>
      <c r="R11" s="5" t="s">
        <v>484</v>
      </c>
      <c r="S11" s="5">
        <v>5</v>
      </c>
      <c r="T11" s="5">
        <v>20</v>
      </c>
      <c r="U11" s="5">
        <v>40</v>
      </c>
      <c r="V11" s="5">
        <v>60</v>
      </c>
      <c r="W11" s="5">
        <v>80</v>
      </c>
      <c r="X11" s="5">
        <v>100</v>
      </c>
      <c r="Y11" s="5">
        <v>120</v>
      </c>
      <c r="Z11" s="5">
        <v>140</v>
      </c>
      <c r="AA11" s="5">
        <v>150</v>
      </c>
    </row>
    <row r="12" spans="1:27" ht="16.5" customHeight="1">
      <c r="A12" s="2">
        <v>11</v>
      </c>
      <c r="B12" s="3" t="str">
        <f t="shared" si="1"/>
        <v>[20,40,60,80,100,120,140,150]</v>
      </c>
      <c r="C12" s="3" t="str">
        <f t="shared" si="2"/>
        <v>["None","Hp","Hp","HpBonus","StageExpEarn","StageGoldEarn","StageGrowthEarn","AwakeningHpBonus"]</v>
      </c>
      <c r="D12" s="23" t="str">
        <f t="shared" si="3"/>
        <v>[0,20000,40000,10500,500,500,10,5]</v>
      </c>
      <c r="E12" s="20"/>
      <c r="F12" s="2" t="s">
        <v>479</v>
      </c>
      <c r="G12" s="2">
        <v>20000</v>
      </c>
      <c r="H12" s="2" t="s">
        <v>479</v>
      </c>
      <c r="I12" s="2">
        <f t="shared" si="0"/>
        <v>40000</v>
      </c>
      <c r="J12" s="2" t="s">
        <v>480</v>
      </c>
      <c r="K12" s="2">
        <v>10500</v>
      </c>
      <c r="L12" s="2" t="s">
        <v>481</v>
      </c>
      <c r="M12" s="2">
        <v>500</v>
      </c>
      <c r="N12" s="2" t="s">
        <v>482</v>
      </c>
      <c r="O12" s="2">
        <v>500</v>
      </c>
      <c r="P12" s="2" t="s">
        <v>483</v>
      </c>
      <c r="Q12" s="2">
        <v>10</v>
      </c>
      <c r="R12" s="2" t="s">
        <v>484</v>
      </c>
      <c r="S12" s="2">
        <v>5</v>
      </c>
      <c r="T12" s="2">
        <v>20</v>
      </c>
      <c r="U12" s="2">
        <v>40</v>
      </c>
      <c r="V12" s="2">
        <v>60</v>
      </c>
      <c r="W12" s="2">
        <v>80</v>
      </c>
      <c r="X12" s="2">
        <v>100</v>
      </c>
      <c r="Y12" s="2">
        <v>120</v>
      </c>
      <c r="Z12" s="2">
        <v>140</v>
      </c>
      <c r="AA12" s="2">
        <v>150</v>
      </c>
    </row>
    <row r="13" spans="1:27" ht="16.5" customHeight="1">
      <c r="A13" s="2">
        <v>12</v>
      </c>
      <c r="B13" s="3" t="str">
        <f t="shared" si="1"/>
        <v>[20,40,60,80,100,120,140,150]</v>
      </c>
      <c r="C13" s="3" t="str">
        <f t="shared" si="2"/>
        <v>["None","Hp","Hp","HpBonus","StageExpEarn","StageGoldEarn","StageGrowthEarn","AwakeningHpBonus"]</v>
      </c>
      <c r="D13" s="23" t="str">
        <f t="shared" si="3"/>
        <v>[0,22000,44000,10650,500,500,10,5]</v>
      </c>
      <c r="E13" s="20"/>
      <c r="F13" s="2" t="s">
        <v>479</v>
      </c>
      <c r="G13" s="2">
        <v>22000</v>
      </c>
      <c r="H13" s="2" t="s">
        <v>479</v>
      </c>
      <c r="I13" s="2">
        <f t="shared" si="0"/>
        <v>44000</v>
      </c>
      <c r="J13" s="2" t="s">
        <v>480</v>
      </c>
      <c r="K13" s="2">
        <v>10650</v>
      </c>
      <c r="L13" s="2" t="s">
        <v>481</v>
      </c>
      <c r="M13" s="2">
        <v>500</v>
      </c>
      <c r="N13" s="2" t="s">
        <v>482</v>
      </c>
      <c r="O13" s="2">
        <v>500</v>
      </c>
      <c r="P13" s="2" t="s">
        <v>483</v>
      </c>
      <c r="Q13" s="2">
        <v>10</v>
      </c>
      <c r="R13" s="2" t="s">
        <v>484</v>
      </c>
      <c r="S13" s="2">
        <v>5</v>
      </c>
      <c r="T13" s="2">
        <v>20</v>
      </c>
      <c r="U13" s="2">
        <v>40</v>
      </c>
      <c r="V13" s="2">
        <v>60</v>
      </c>
      <c r="W13" s="2">
        <v>80</v>
      </c>
      <c r="X13" s="2">
        <v>100</v>
      </c>
      <c r="Y13" s="2">
        <v>120</v>
      </c>
      <c r="Z13" s="2">
        <v>140</v>
      </c>
      <c r="AA13" s="2">
        <v>150</v>
      </c>
    </row>
    <row r="14" spans="1:27" ht="16.5" customHeight="1">
      <c r="A14" s="2">
        <v>13</v>
      </c>
      <c r="B14" s="3" t="str">
        <f t="shared" si="1"/>
        <v>[20,40,60,80,100,120,140,150]</v>
      </c>
      <c r="C14" s="3" t="str">
        <f t="shared" si="2"/>
        <v>["None","Hp","Hp","HpBonus","StageExpEarn","StageGoldEarn","StageGrowthEarn","AwakeningHpBonus"]</v>
      </c>
      <c r="D14" s="23" t="str">
        <f t="shared" si="3"/>
        <v>[0,24000,48000,10800,500,500,10,5]</v>
      </c>
      <c r="E14" s="20"/>
      <c r="F14" s="2" t="s">
        <v>479</v>
      </c>
      <c r="G14" s="2">
        <v>24000</v>
      </c>
      <c r="H14" s="2" t="s">
        <v>479</v>
      </c>
      <c r="I14" s="2">
        <f t="shared" si="0"/>
        <v>48000</v>
      </c>
      <c r="J14" s="2" t="s">
        <v>480</v>
      </c>
      <c r="K14" s="2">
        <v>10800</v>
      </c>
      <c r="L14" s="2" t="s">
        <v>481</v>
      </c>
      <c r="M14" s="2">
        <v>500</v>
      </c>
      <c r="N14" s="2" t="s">
        <v>482</v>
      </c>
      <c r="O14" s="2">
        <v>500</v>
      </c>
      <c r="P14" s="2" t="s">
        <v>483</v>
      </c>
      <c r="Q14" s="2">
        <v>10</v>
      </c>
      <c r="R14" s="2" t="s">
        <v>484</v>
      </c>
      <c r="S14" s="2">
        <v>5</v>
      </c>
      <c r="T14" s="2">
        <v>20</v>
      </c>
      <c r="U14" s="2">
        <v>40</v>
      </c>
      <c r="V14" s="2">
        <v>60</v>
      </c>
      <c r="W14" s="2">
        <v>80</v>
      </c>
      <c r="X14" s="2">
        <v>100</v>
      </c>
      <c r="Y14" s="2">
        <v>120</v>
      </c>
      <c r="Z14" s="2">
        <v>140</v>
      </c>
      <c r="AA14" s="2">
        <v>150</v>
      </c>
    </row>
    <row r="15" spans="1:27" ht="16.5" customHeight="1">
      <c r="A15" s="2">
        <v>14</v>
      </c>
      <c r="B15" s="3" t="str">
        <f t="shared" si="1"/>
        <v>[20,40,60,80,100,120,140,150]</v>
      </c>
      <c r="C15" s="3" t="str">
        <f t="shared" si="2"/>
        <v>["None","Hp","Hp","HpBonus","StageExpEarn","StageGoldEarn","StageGrowthEarn","AwakeningHpBonus"]</v>
      </c>
      <c r="D15" s="23" t="str">
        <f t="shared" si="3"/>
        <v>[0,26000,52000,10950,500,500,10,5]</v>
      </c>
      <c r="E15" s="20"/>
      <c r="F15" s="2" t="s">
        <v>479</v>
      </c>
      <c r="G15" s="2">
        <v>26000</v>
      </c>
      <c r="H15" s="2" t="s">
        <v>479</v>
      </c>
      <c r="I15" s="2">
        <f t="shared" si="0"/>
        <v>52000</v>
      </c>
      <c r="J15" s="2" t="s">
        <v>480</v>
      </c>
      <c r="K15" s="2">
        <v>10950</v>
      </c>
      <c r="L15" s="2" t="s">
        <v>481</v>
      </c>
      <c r="M15" s="2">
        <v>500</v>
      </c>
      <c r="N15" s="2" t="s">
        <v>482</v>
      </c>
      <c r="O15" s="2">
        <v>500</v>
      </c>
      <c r="P15" s="2" t="s">
        <v>483</v>
      </c>
      <c r="Q15" s="2">
        <v>10</v>
      </c>
      <c r="R15" s="2" t="s">
        <v>484</v>
      </c>
      <c r="S15" s="2">
        <v>5</v>
      </c>
      <c r="T15" s="2">
        <v>20</v>
      </c>
      <c r="U15" s="2">
        <v>40</v>
      </c>
      <c r="V15" s="2">
        <v>60</v>
      </c>
      <c r="W15" s="2">
        <v>80</v>
      </c>
      <c r="X15" s="2">
        <v>100</v>
      </c>
      <c r="Y15" s="2">
        <v>120</v>
      </c>
      <c r="Z15" s="2">
        <v>140</v>
      </c>
      <c r="AA15" s="2">
        <v>150</v>
      </c>
    </row>
    <row r="16" spans="1:27" ht="16.5" customHeight="1">
      <c r="A16" s="6">
        <v>15</v>
      </c>
      <c r="B16" s="3" t="str">
        <f t="shared" si="1"/>
        <v>[20,40,60,80,100,120,140,150]</v>
      </c>
      <c r="C16" s="3" t="str">
        <f t="shared" si="2"/>
        <v>["None","Hp","Hp","HpBonus","StageExpEarn","StageGoldEarn","StageGrowthEarn","AwakeningHpBonus"]</v>
      </c>
      <c r="D16" s="23" t="str">
        <f t="shared" si="3"/>
        <v>[0,28000,56000,11100,500,500,10,5]</v>
      </c>
      <c r="E16" s="20"/>
      <c r="F16" s="2" t="s">
        <v>479</v>
      </c>
      <c r="G16" s="2">
        <v>28000</v>
      </c>
      <c r="H16" s="2" t="s">
        <v>479</v>
      </c>
      <c r="I16" s="2">
        <f t="shared" si="0"/>
        <v>56000</v>
      </c>
      <c r="J16" s="2" t="s">
        <v>480</v>
      </c>
      <c r="K16" s="2">
        <v>11100</v>
      </c>
      <c r="L16" s="6" t="s">
        <v>481</v>
      </c>
      <c r="M16" s="2">
        <v>500</v>
      </c>
      <c r="N16" s="6" t="s">
        <v>482</v>
      </c>
      <c r="O16" s="2">
        <v>500</v>
      </c>
      <c r="P16" s="6" t="s">
        <v>483</v>
      </c>
      <c r="Q16" s="2">
        <v>10</v>
      </c>
      <c r="R16" s="6" t="s">
        <v>484</v>
      </c>
      <c r="S16" s="6">
        <v>5</v>
      </c>
      <c r="T16" s="6">
        <v>20</v>
      </c>
      <c r="U16" s="6">
        <v>40</v>
      </c>
      <c r="V16" s="6">
        <v>60</v>
      </c>
      <c r="W16" s="6">
        <v>80</v>
      </c>
      <c r="X16" s="6">
        <v>100</v>
      </c>
      <c r="Y16" s="6">
        <v>120</v>
      </c>
      <c r="Z16" s="6">
        <v>140</v>
      </c>
      <c r="AA16" s="6">
        <v>150</v>
      </c>
    </row>
    <row r="17" spans="1:27" ht="16.5" customHeight="1">
      <c r="A17" s="2">
        <v>16</v>
      </c>
      <c r="B17" s="3" t="str">
        <f t="shared" si="1"/>
        <v>[20,40,60,80,100,120,140,150]</v>
      </c>
      <c r="C17" s="3" t="str">
        <f t="shared" si="2"/>
        <v>["None","Hp","Hp","HpBonus","StageExpEarn","StageGoldEarn","StageGrowthEarn","AwakeningHpBonus"]</v>
      </c>
      <c r="D17" s="23" t="str">
        <f t="shared" si="3"/>
        <v>[0,30000,60000,12000,500,500,10,5]</v>
      </c>
      <c r="E17" s="20"/>
      <c r="F17" s="2" t="s">
        <v>479</v>
      </c>
      <c r="G17" s="2">
        <v>30000</v>
      </c>
      <c r="H17" s="2" t="s">
        <v>479</v>
      </c>
      <c r="I17" s="2">
        <f t="shared" si="0"/>
        <v>60000</v>
      </c>
      <c r="J17" s="2" t="s">
        <v>480</v>
      </c>
      <c r="K17" s="2">
        <v>12000</v>
      </c>
      <c r="L17" s="2" t="s">
        <v>481</v>
      </c>
      <c r="M17" s="2">
        <v>500</v>
      </c>
      <c r="N17" s="2" t="s">
        <v>482</v>
      </c>
      <c r="O17" s="2">
        <v>500</v>
      </c>
      <c r="P17" s="2" t="s">
        <v>483</v>
      </c>
      <c r="Q17" s="2">
        <v>10</v>
      </c>
      <c r="R17" s="2" t="s">
        <v>484</v>
      </c>
      <c r="S17" s="2">
        <v>5</v>
      </c>
      <c r="T17" s="2">
        <v>20</v>
      </c>
      <c r="U17" s="2">
        <v>40</v>
      </c>
      <c r="V17" s="2">
        <v>60</v>
      </c>
      <c r="W17" s="2">
        <v>80</v>
      </c>
      <c r="X17" s="2">
        <v>100</v>
      </c>
      <c r="Y17" s="2">
        <v>120</v>
      </c>
      <c r="Z17" s="2">
        <v>140</v>
      </c>
      <c r="AA17" s="2">
        <v>150</v>
      </c>
    </row>
    <row r="18" spans="1:27" ht="16.5" customHeight="1">
      <c r="A18" s="2">
        <v>17</v>
      </c>
      <c r="B18" s="3" t="str">
        <f t="shared" si="1"/>
        <v>[20,40,60,80,100,120,140,150]</v>
      </c>
      <c r="C18" s="3" t="str">
        <f t="shared" si="2"/>
        <v>["None","Hp","Hp","HpBonus","StageExpEarn","StageGoldEarn","StageGrowthEarn","AwakeningHpBonus"]</v>
      </c>
      <c r="D18" s="23" t="str">
        <f t="shared" si="3"/>
        <v>[0,33000,66000,12900,500,500,10,5]</v>
      </c>
      <c r="E18" s="20"/>
      <c r="F18" s="2" t="s">
        <v>479</v>
      </c>
      <c r="G18" s="2">
        <v>33000</v>
      </c>
      <c r="H18" s="2" t="s">
        <v>479</v>
      </c>
      <c r="I18" s="2">
        <f t="shared" si="0"/>
        <v>66000</v>
      </c>
      <c r="J18" s="2" t="s">
        <v>480</v>
      </c>
      <c r="K18" s="2">
        <v>12900</v>
      </c>
      <c r="L18" s="2" t="s">
        <v>481</v>
      </c>
      <c r="M18" s="2">
        <v>500</v>
      </c>
      <c r="N18" s="2" t="s">
        <v>482</v>
      </c>
      <c r="O18" s="2">
        <v>500</v>
      </c>
      <c r="P18" s="2" t="s">
        <v>483</v>
      </c>
      <c r="Q18" s="2">
        <v>10</v>
      </c>
      <c r="R18" s="2" t="s">
        <v>484</v>
      </c>
      <c r="S18" s="2">
        <v>5</v>
      </c>
      <c r="T18" s="2">
        <v>20</v>
      </c>
      <c r="U18" s="2">
        <v>40</v>
      </c>
      <c r="V18" s="2">
        <v>60</v>
      </c>
      <c r="W18" s="2">
        <v>80</v>
      </c>
      <c r="X18" s="2">
        <v>100</v>
      </c>
      <c r="Y18" s="2">
        <v>120</v>
      </c>
      <c r="Z18" s="2">
        <v>140</v>
      </c>
      <c r="AA18" s="2">
        <v>150</v>
      </c>
    </row>
    <row r="19" spans="1:27" ht="16.5" customHeight="1">
      <c r="A19" s="2">
        <v>18</v>
      </c>
      <c r="B19" s="3" t="str">
        <f t="shared" si="1"/>
        <v>[20,40,60,80,100,120,140,150]</v>
      </c>
      <c r="C19" s="3" t="str">
        <f t="shared" si="2"/>
        <v>["None","Hp","Hp","HpBonus","StageExpEarn","StageGoldEarn","StageGrowthEarn","AwakeningHpBonus"]</v>
      </c>
      <c r="D19" s="23" t="str">
        <f t="shared" si="3"/>
        <v>[0,36000,72000,13800,500,500,10,5]</v>
      </c>
      <c r="E19" s="20"/>
      <c r="F19" s="2" t="s">
        <v>479</v>
      </c>
      <c r="G19" s="2">
        <v>36000</v>
      </c>
      <c r="H19" s="2" t="s">
        <v>479</v>
      </c>
      <c r="I19" s="2">
        <f t="shared" si="0"/>
        <v>72000</v>
      </c>
      <c r="J19" s="2" t="s">
        <v>480</v>
      </c>
      <c r="K19" s="2">
        <v>13800</v>
      </c>
      <c r="L19" s="2" t="s">
        <v>481</v>
      </c>
      <c r="M19" s="2">
        <v>500</v>
      </c>
      <c r="N19" s="2" t="s">
        <v>482</v>
      </c>
      <c r="O19" s="2">
        <v>500</v>
      </c>
      <c r="P19" s="2" t="s">
        <v>483</v>
      </c>
      <c r="Q19" s="2">
        <v>10</v>
      </c>
      <c r="R19" s="2" t="s">
        <v>484</v>
      </c>
      <c r="S19" s="2">
        <v>5</v>
      </c>
      <c r="T19" s="2">
        <v>20</v>
      </c>
      <c r="U19" s="2">
        <v>40</v>
      </c>
      <c r="V19" s="2">
        <v>60</v>
      </c>
      <c r="W19" s="2">
        <v>80</v>
      </c>
      <c r="X19" s="2">
        <v>100</v>
      </c>
      <c r="Y19" s="2">
        <v>120</v>
      </c>
      <c r="Z19" s="2">
        <v>140</v>
      </c>
      <c r="AA19" s="2">
        <v>150</v>
      </c>
    </row>
    <row r="20" spans="1:27" ht="16.5" customHeight="1">
      <c r="A20" s="2">
        <v>19</v>
      </c>
      <c r="B20" s="3" t="str">
        <f t="shared" si="1"/>
        <v>[20,40,60,80,100,120,140,150]</v>
      </c>
      <c r="C20" s="3" t="str">
        <f t="shared" si="2"/>
        <v>["None","Hp","Hp","HpBonus","StageExpEarn","StageGoldEarn","StageGrowthEarn","AwakeningHpBonus"]</v>
      </c>
      <c r="D20" s="23" t="str">
        <f t="shared" si="3"/>
        <v>[0,39000,78000,14700,500,500,10,5]</v>
      </c>
      <c r="E20" s="20"/>
      <c r="F20" s="2" t="s">
        <v>479</v>
      </c>
      <c r="G20" s="2">
        <v>39000</v>
      </c>
      <c r="H20" s="2" t="s">
        <v>479</v>
      </c>
      <c r="I20" s="2">
        <f t="shared" si="0"/>
        <v>78000</v>
      </c>
      <c r="J20" s="2" t="s">
        <v>480</v>
      </c>
      <c r="K20" s="2">
        <v>14700</v>
      </c>
      <c r="L20" s="2" t="s">
        <v>481</v>
      </c>
      <c r="M20" s="2">
        <v>500</v>
      </c>
      <c r="N20" s="2" t="s">
        <v>482</v>
      </c>
      <c r="O20" s="2">
        <v>500</v>
      </c>
      <c r="P20" s="2" t="s">
        <v>483</v>
      </c>
      <c r="Q20" s="2">
        <v>10</v>
      </c>
      <c r="R20" s="2" t="s">
        <v>484</v>
      </c>
      <c r="S20" s="2">
        <v>5</v>
      </c>
      <c r="T20" s="2">
        <v>20</v>
      </c>
      <c r="U20" s="2">
        <v>40</v>
      </c>
      <c r="V20" s="2">
        <v>60</v>
      </c>
      <c r="W20" s="2">
        <v>80</v>
      </c>
      <c r="X20" s="2">
        <v>100</v>
      </c>
      <c r="Y20" s="2">
        <v>120</v>
      </c>
      <c r="Z20" s="2">
        <v>140</v>
      </c>
      <c r="AA20" s="2">
        <v>150</v>
      </c>
    </row>
    <row r="21" spans="1:27" ht="16.5" customHeight="1">
      <c r="A21" s="7">
        <v>20</v>
      </c>
      <c r="B21" s="3" t="str">
        <f t="shared" si="1"/>
        <v>[20,40,60,80,100,120,140,150]</v>
      </c>
      <c r="C21" s="3" t="str">
        <f t="shared" si="2"/>
        <v>["None","Hp","Hp","HpBonus","StageExpEarn","StageGoldEarn","StageGrowthEarn","AwakeningHpBonus"]</v>
      </c>
      <c r="D21" s="23" t="str">
        <f t="shared" si="3"/>
        <v>[0,42000,84000,16500,500,500,10,5]</v>
      </c>
      <c r="E21" s="20"/>
      <c r="F21" s="2" t="s">
        <v>479</v>
      </c>
      <c r="G21" s="2">
        <v>42000</v>
      </c>
      <c r="H21" s="2" t="s">
        <v>479</v>
      </c>
      <c r="I21" s="2">
        <f t="shared" si="0"/>
        <v>84000</v>
      </c>
      <c r="J21" s="2" t="s">
        <v>480</v>
      </c>
      <c r="K21" s="2">
        <v>16500</v>
      </c>
      <c r="L21" s="7" t="s">
        <v>481</v>
      </c>
      <c r="M21" s="2">
        <v>500</v>
      </c>
      <c r="N21" s="7" t="s">
        <v>482</v>
      </c>
      <c r="O21" s="2">
        <v>500</v>
      </c>
      <c r="P21" s="7" t="s">
        <v>483</v>
      </c>
      <c r="Q21" s="2">
        <v>10</v>
      </c>
      <c r="R21" s="7" t="s">
        <v>484</v>
      </c>
      <c r="S21" s="7">
        <v>5</v>
      </c>
      <c r="T21" s="7">
        <v>20</v>
      </c>
      <c r="U21" s="7">
        <v>40</v>
      </c>
      <c r="V21" s="7">
        <v>60</v>
      </c>
      <c r="W21" s="7">
        <v>80</v>
      </c>
      <c r="X21" s="7">
        <v>100</v>
      </c>
      <c r="Y21" s="7">
        <v>120</v>
      </c>
      <c r="Z21" s="7">
        <v>140</v>
      </c>
      <c r="AA21" s="7">
        <v>150</v>
      </c>
    </row>
    <row r="22" spans="1:27" ht="16.5" customHeight="1">
      <c r="A22" s="2">
        <v>21</v>
      </c>
      <c r="B22" s="3" t="str">
        <f t="shared" si="1"/>
        <v>[20,40,60,80,100,120,140,150]</v>
      </c>
      <c r="C22" s="3" t="str">
        <f t="shared" si="2"/>
        <v>["None","Hp","Hp","HpBonus","StageExpEarn","StageGoldEarn","StageGrowthEarn","AwakeningHpBonus"]</v>
      </c>
      <c r="D22" s="23" t="str">
        <f t="shared" si="3"/>
        <v>[0,50000,100000,18000,500,500,10,10]</v>
      </c>
      <c r="E22" s="20"/>
      <c r="F22" s="2" t="s">
        <v>479</v>
      </c>
      <c r="G22" s="2">
        <v>50000</v>
      </c>
      <c r="H22" s="2" t="s">
        <v>479</v>
      </c>
      <c r="I22" s="2">
        <f t="shared" si="0"/>
        <v>100000</v>
      </c>
      <c r="J22" s="2" t="s">
        <v>480</v>
      </c>
      <c r="K22" s="2">
        <v>18000</v>
      </c>
      <c r="L22" s="2" t="s">
        <v>481</v>
      </c>
      <c r="M22" s="2">
        <v>500</v>
      </c>
      <c r="N22" s="2" t="s">
        <v>482</v>
      </c>
      <c r="O22" s="2">
        <v>500</v>
      </c>
      <c r="P22" s="2" t="s">
        <v>483</v>
      </c>
      <c r="Q22" s="2">
        <v>10</v>
      </c>
      <c r="R22" s="2" t="s">
        <v>484</v>
      </c>
      <c r="S22" s="2">
        <v>10</v>
      </c>
      <c r="T22" s="2">
        <v>20</v>
      </c>
      <c r="U22" s="2">
        <v>40</v>
      </c>
      <c r="V22" s="2">
        <v>60</v>
      </c>
      <c r="W22" s="2">
        <v>80</v>
      </c>
      <c r="X22" s="2">
        <v>100</v>
      </c>
      <c r="Y22" s="2">
        <v>120</v>
      </c>
      <c r="Z22" s="2">
        <v>140</v>
      </c>
      <c r="AA22" s="2">
        <v>150</v>
      </c>
    </row>
    <row r="23" spans="1:27" ht="16.5" customHeight="1">
      <c r="A23" s="2">
        <v>22</v>
      </c>
      <c r="B23" s="3" t="str">
        <f t="shared" si="1"/>
        <v>[20,40,60,80,100,120,140,150]</v>
      </c>
      <c r="C23" s="3" t="str">
        <f t="shared" si="2"/>
        <v>["None","Hp","Hp","HpBonus","StageExpEarn","StageGoldEarn","StageGrowthEarn","AwakeningHpBonus"]</v>
      </c>
      <c r="D23" s="23" t="str">
        <f t="shared" si="3"/>
        <v>[0,55000,110000,19500,500,500,10,10]</v>
      </c>
      <c r="E23" s="20"/>
      <c r="F23" s="2" t="s">
        <v>479</v>
      </c>
      <c r="G23" s="2">
        <v>55000</v>
      </c>
      <c r="H23" s="2" t="s">
        <v>479</v>
      </c>
      <c r="I23" s="2">
        <f t="shared" si="0"/>
        <v>110000</v>
      </c>
      <c r="J23" s="2" t="s">
        <v>480</v>
      </c>
      <c r="K23" s="2">
        <v>19500</v>
      </c>
      <c r="L23" s="2" t="s">
        <v>481</v>
      </c>
      <c r="M23" s="2">
        <v>500</v>
      </c>
      <c r="N23" s="2" t="s">
        <v>482</v>
      </c>
      <c r="O23" s="2">
        <v>500</v>
      </c>
      <c r="P23" s="2" t="s">
        <v>483</v>
      </c>
      <c r="Q23" s="2">
        <v>10</v>
      </c>
      <c r="R23" s="2" t="s">
        <v>484</v>
      </c>
      <c r="S23" s="2">
        <v>10</v>
      </c>
      <c r="T23" s="2">
        <v>20</v>
      </c>
      <c r="U23" s="2">
        <v>40</v>
      </c>
      <c r="V23" s="2">
        <v>60</v>
      </c>
      <c r="W23" s="2">
        <v>80</v>
      </c>
      <c r="X23" s="2">
        <v>100</v>
      </c>
      <c r="Y23" s="2">
        <v>120</v>
      </c>
      <c r="Z23" s="2">
        <v>140</v>
      </c>
      <c r="AA23" s="2">
        <v>150</v>
      </c>
    </row>
    <row r="24" spans="1:27" ht="16.5" customHeight="1">
      <c r="A24" s="2">
        <v>23</v>
      </c>
      <c r="B24" s="3" t="str">
        <f t="shared" si="1"/>
        <v>[20,40,60,80,100,120,140,150]</v>
      </c>
      <c r="C24" s="3" t="str">
        <f t="shared" si="2"/>
        <v>["None","Hp","Hp","HpBonus","StageExpEarn","StageGoldEarn","StageGrowthEarn","AwakeningHpBonus"]</v>
      </c>
      <c r="D24" s="23" t="str">
        <f t="shared" si="3"/>
        <v>[0,60000,120000,21000,500,500,10,10]</v>
      </c>
      <c r="E24" s="20"/>
      <c r="F24" s="2" t="s">
        <v>479</v>
      </c>
      <c r="G24" s="2">
        <v>60000</v>
      </c>
      <c r="H24" s="2" t="s">
        <v>479</v>
      </c>
      <c r="I24" s="2">
        <f t="shared" si="0"/>
        <v>120000</v>
      </c>
      <c r="J24" s="2" t="s">
        <v>480</v>
      </c>
      <c r="K24" s="2">
        <v>21000</v>
      </c>
      <c r="L24" s="2" t="s">
        <v>481</v>
      </c>
      <c r="M24" s="2">
        <v>500</v>
      </c>
      <c r="N24" s="2" t="s">
        <v>482</v>
      </c>
      <c r="O24" s="2">
        <v>500</v>
      </c>
      <c r="P24" s="2" t="s">
        <v>483</v>
      </c>
      <c r="Q24" s="2">
        <v>10</v>
      </c>
      <c r="R24" s="2" t="s">
        <v>484</v>
      </c>
      <c r="S24" s="2">
        <v>10</v>
      </c>
      <c r="T24" s="2">
        <v>20</v>
      </c>
      <c r="U24" s="2">
        <v>40</v>
      </c>
      <c r="V24" s="2">
        <v>60</v>
      </c>
      <c r="W24" s="2">
        <v>80</v>
      </c>
      <c r="X24" s="2">
        <v>100</v>
      </c>
      <c r="Y24" s="2">
        <v>120</v>
      </c>
      <c r="Z24" s="2">
        <v>140</v>
      </c>
      <c r="AA24" s="2">
        <v>150</v>
      </c>
    </row>
    <row r="25" spans="1:27" ht="16.5" customHeight="1">
      <c r="A25" s="2">
        <v>24</v>
      </c>
      <c r="B25" s="3" t="str">
        <f t="shared" si="1"/>
        <v>[20,40,60,80,100,120,140,150]</v>
      </c>
      <c r="C25" s="3" t="str">
        <f t="shared" si="2"/>
        <v>["None","Hp","Hp","HpBonus","StageExpEarn","StageGoldEarn","StageGrowthEarn","AwakeningHpBonus"]</v>
      </c>
      <c r="D25" s="23" t="str">
        <f t="shared" si="3"/>
        <v>[0,65000,130000,22500,500,500,10,10]</v>
      </c>
      <c r="E25" s="20"/>
      <c r="F25" s="2" t="s">
        <v>479</v>
      </c>
      <c r="G25" s="2">
        <v>65000</v>
      </c>
      <c r="H25" s="2" t="s">
        <v>479</v>
      </c>
      <c r="I25" s="2">
        <f t="shared" si="0"/>
        <v>130000</v>
      </c>
      <c r="J25" s="2" t="s">
        <v>480</v>
      </c>
      <c r="K25" s="2">
        <v>22500</v>
      </c>
      <c r="L25" s="2" t="s">
        <v>481</v>
      </c>
      <c r="M25" s="2">
        <v>500</v>
      </c>
      <c r="N25" s="2" t="s">
        <v>482</v>
      </c>
      <c r="O25" s="2">
        <v>500</v>
      </c>
      <c r="P25" s="2" t="s">
        <v>483</v>
      </c>
      <c r="Q25" s="2">
        <v>10</v>
      </c>
      <c r="R25" s="2" t="s">
        <v>484</v>
      </c>
      <c r="S25" s="2">
        <v>10</v>
      </c>
      <c r="T25" s="2">
        <v>20</v>
      </c>
      <c r="U25" s="2">
        <v>40</v>
      </c>
      <c r="V25" s="2">
        <v>60</v>
      </c>
      <c r="W25" s="2">
        <v>80</v>
      </c>
      <c r="X25" s="2">
        <v>100</v>
      </c>
      <c r="Y25" s="2">
        <v>120</v>
      </c>
      <c r="Z25" s="2">
        <v>140</v>
      </c>
      <c r="AA25" s="2">
        <v>150</v>
      </c>
    </row>
    <row r="26" spans="1:27" ht="16.5" customHeight="1">
      <c r="A26" s="8">
        <v>25</v>
      </c>
      <c r="B26" s="3" t="str">
        <f t="shared" si="1"/>
        <v>[20,40,60,80,100,120,140,150]</v>
      </c>
      <c r="C26" s="3" t="str">
        <f t="shared" si="2"/>
        <v>["None","Hp","Hp","HpBonus","StageExpEarn","StageGoldEarn","StageGrowthEarn","AwakeningHpBonus"]</v>
      </c>
      <c r="D26" s="23" t="str">
        <f t="shared" si="3"/>
        <v>[0,70000,140000,24000,500,500,10,10]</v>
      </c>
      <c r="E26" s="20"/>
      <c r="F26" s="2" t="s">
        <v>479</v>
      </c>
      <c r="G26" s="2">
        <v>70000</v>
      </c>
      <c r="H26" s="2" t="s">
        <v>479</v>
      </c>
      <c r="I26" s="2">
        <f t="shared" si="0"/>
        <v>140000</v>
      </c>
      <c r="J26" s="2" t="s">
        <v>480</v>
      </c>
      <c r="K26" s="2">
        <v>24000</v>
      </c>
      <c r="L26" s="8" t="s">
        <v>481</v>
      </c>
      <c r="M26" s="2">
        <v>500</v>
      </c>
      <c r="N26" s="8" t="s">
        <v>482</v>
      </c>
      <c r="O26" s="2">
        <v>500</v>
      </c>
      <c r="P26" s="8" t="s">
        <v>483</v>
      </c>
      <c r="Q26" s="2">
        <v>10</v>
      </c>
      <c r="R26" s="8" t="s">
        <v>484</v>
      </c>
      <c r="S26" s="8">
        <v>10</v>
      </c>
      <c r="T26" s="8">
        <v>20</v>
      </c>
      <c r="U26" s="8">
        <v>40</v>
      </c>
      <c r="V26" s="8">
        <v>60</v>
      </c>
      <c r="W26" s="8">
        <v>80</v>
      </c>
      <c r="X26" s="8">
        <v>100</v>
      </c>
      <c r="Y26" s="8">
        <v>120</v>
      </c>
      <c r="Z26" s="8">
        <v>140</v>
      </c>
      <c r="AA26" s="8">
        <v>150</v>
      </c>
    </row>
    <row r="27" spans="1:27" ht="16.5" customHeight="1">
      <c r="A27" s="2">
        <v>26</v>
      </c>
      <c r="B27" s="3" t="str">
        <f t="shared" si="1"/>
        <v>[20,40,60,80,100,120,140,150]</v>
      </c>
      <c r="C27" s="3" t="str">
        <f t="shared" si="2"/>
        <v>["None","Hp","Hp","HpBonus","StageExpEarn","StageGoldEarn","StageGrowthEarn","AwakeningHpBonus"]</v>
      </c>
      <c r="D27" s="23" t="str">
        <f t="shared" si="3"/>
        <v>[0,80000,160000,25500,500,500,10,10]</v>
      </c>
      <c r="E27" s="20"/>
      <c r="F27" s="2" t="s">
        <v>479</v>
      </c>
      <c r="G27" s="2">
        <v>80000</v>
      </c>
      <c r="H27" s="2" t="s">
        <v>479</v>
      </c>
      <c r="I27" s="2">
        <f t="shared" si="0"/>
        <v>160000</v>
      </c>
      <c r="J27" s="2" t="s">
        <v>480</v>
      </c>
      <c r="K27" s="2">
        <v>25500</v>
      </c>
      <c r="L27" s="2" t="s">
        <v>481</v>
      </c>
      <c r="M27" s="2">
        <v>500</v>
      </c>
      <c r="N27" s="2" t="s">
        <v>482</v>
      </c>
      <c r="O27" s="2">
        <v>500</v>
      </c>
      <c r="P27" s="2" t="s">
        <v>483</v>
      </c>
      <c r="Q27" s="2">
        <v>10</v>
      </c>
      <c r="R27" s="2" t="s">
        <v>484</v>
      </c>
      <c r="S27" s="2">
        <v>10</v>
      </c>
      <c r="T27" s="2">
        <v>20</v>
      </c>
      <c r="U27" s="2">
        <v>40</v>
      </c>
      <c r="V27" s="2">
        <v>60</v>
      </c>
      <c r="W27" s="2">
        <v>80</v>
      </c>
      <c r="X27" s="2">
        <v>100</v>
      </c>
      <c r="Y27" s="2">
        <v>120</v>
      </c>
      <c r="Z27" s="2">
        <v>140</v>
      </c>
      <c r="AA27" s="2">
        <v>150</v>
      </c>
    </row>
    <row r="28" spans="1:27" ht="16.5" customHeight="1">
      <c r="A28" s="2">
        <v>27</v>
      </c>
      <c r="B28" s="3" t="str">
        <f t="shared" si="1"/>
        <v>[20,40,60,80,100,120,140,150]</v>
      </c>
      <c r="C28" s="3" t="str">
        <f t="shared" si="2"/>
        <v>["None","Hp","Hp","HpBonus","StageExpEarn","StageGoldEarn","StageGrowthEarn","AwakeningHpBonus"]</v>
      </c>
      <c r="D28" s="23" t="str">
        <f t="shared" si="3"/>
        <v>[0,90000,180000,27000,500,500,10,10]</v>
      </c>
      <c r="E28" s="20"/>
      <c r="F28" s="2" t="s">
        <v>479</v>
      </c>
      <c r="G28" s="2">
        <v>90000</v>
      </c>
      <c r="H28" s="2" t="s">
        <v>479</v>
      </c>
      <c r="I28" s="2">
        <f t="shared" si="0"/>
        <v>180000</v>
      </c>
      <c r="J28" s="2" t="s">
        <v>480</v>
      </c>
      <c r="K28" s="2">
        <v>27000</v>
      </c>
      <c r="L28" s="2" t="s">
        <v>481</v>
      </c>
      <c r="M28" s="2">
        <v>500</v>
      </c>
      <c r="N28" s="2" t="s">
        <v>482</v>
      </c>
      <c r="O28" s="2">
        <v>500</v>
      </c>
      <c r="P28" s="2" t="s">
        <v>483</v>
      </c>
      <c r="Q28" s="2">
        <v>10</v>
      </c>
      <c r="R28" s="2" t="s">
        <v>484</v>
      </c>
      <c r="S28" s="2">
        <v>10</v>
      </c>
      <c r="T28" s="2">
        <v>20</v>
      </c>
      <c r="U28" s="2">
        <v>40</v>
      </c>
      <c r="V28" s="2">
        <v>60</v>
      </c>
      <c r="W28" s="2">
        <v>80</v>
      </c>
      <c r="X28" s="2">
        <v>100</v>
      </c>
      <c r="Y28" s="2">
        <v>120</v>
      </c>
      <c r="Z28" s="2">
        <v>140</v>
      </c>
      <c r="AA28" s="2">
        <v>150</v>
      </c>
    </row>
    <row r="29" spans="1:27" ht="16.5" customHeight="1">
      <c r="A29" s="2">
        <v>28</v>
      </c>
      <c r="B29" s="3" t="str">
        <f t="shared" si="1"/>
        <v>[20,40,60,80,100,120,140,150]</v>
      </c>
      <c r="C29" s="3" t="str">
        <f t="shared" si="2"/>
        <v>["None","Hp","Hp","HpBonus","StageExpEarn","StageGoldEarn","StageGrowthEarn","AwakeningHpBonus"]</v>
      </c>
      <c r="D29" s="23" t="str">
        <f t="shared" si="3"/>
        <v>[0,100000,200000,28500,500,500,10,10]</v>
      </c>
      <c r="E29" s="20"/>
      <c r="F29" s="2" t="s">
        <v>479</v>
      </c>
      <c r="G29" s="2">
        <v>100000</v>
      </c>
      <c r="H29" s="2" t="s">
        <v>479</v>
      </c>
      <c r="I29" s="2">
        <f t="shared" si="0"/>
        <v>200000</v>
      </c>
      <c r="J29" s="2" t="s">
        <v>480</v>
      </c>
      <c r="K29" s="2">
        <v>28500</v>
      </c>
      <c r="L29" s="2" t="s">
        <v>481</v>
      </c>
      <c r="M29" s="2">
        <v>500</v>
      </c>
      <c r="N29" s="2" t="s">
        <v>482</v>
      </c>
      <c r="O29" s="2">
        <v>500</v>
      </c>
      <c r="P29" s="2" t="s">
        <v>483</v>
      </c>
      <c r="Q29" s="2">
        <v>10</v>
      </c>
      <c r="R29" s="2" t="s">
        <v>484</v>
      </c>
      <c r="S29" s="2">
        <v>10</v>
      </c>
      <c r="T29" s="2">
        <v>20</v>
      </c>
      <c r="U29" s="2">
        <v>40</v>
      </c>
      <c r="V29" s="2">
        <v>60</v>
      </c>
      <c r="W29" s="2">
        <v>80</v>
      </c>
      <c r="X29" s="2">
        <v>100</v>
      </c>
      <c r="Y29" s="2">
        <v>120</v>
      </c>
      <c r="Z29" s="2">
        <v>140</v>
      </c>
      <c r="AA29" s="2">
        <v>150</v>
      </c>
    </row>
    <row r="30" spans="1:27" ht="16.5" customHeight="1">
      <c r="A30" s="2">
        <v>29</v>
      </c>
      <c r="B30" s="3" t="str">
        <f t="shared" si="1"/>
        <v>[20,40,60,80,100,120,140,150]</v>
      </c>
      <c r="C30" s="3" t="str">
        <f t="shared" si="2"/>
        <v>["None","Hp","Hp","HpBonus","StageExpEarn","StageGoldEarn","StageGrowthEarn","AwakeningHpBonus"]</v>
      </c>
      <c r="D30" s="23" t="str">
        <f t="shared" si="3"/>
        <v>[0,110000,220000,30000,500,500,10,10]</v>
      </c>
      <c r="E30" s="20"/>
      <c r="F30" s="2" t="s">
        <v>479</v>
      </c>
      <c r="G30" s="2">
        <v>110000</v>
      </c>
      <c r="H30" s="2" t="s">
        <v>479</v>
      </c>
      <c r="I30" s="2">
        <f t="shared" si="0"/>
        <v>220000</v>
      </c>
      <c r="J30" s="2" t="s">
        <v>480</v>
      </c>
      <c r="K30" s="2">
        <v>30000</v>
      </c>
      <c r="L30" s="2" t="s">
        <v>481</v>
      </c>
      <c r="M30" s="2">
        <v>500</v>
      </c>
      <c r="N30" s="2" t="s">
        <v>482</v>
      </c>
      <c r="O30" s="2">
        <v>500</v>
      </c>
      <c r="P30" s="2" t="s">
        <v>483</v>
      </c>
      <c r="Q30" s="2">
        <v>10</v>
      </c>
      <c r="R30" s="2" t="s">
        <v>484</v>
      </c>
      <c r="S30" s="2">
        <v>10</v>
      </c>
      <c r="T30" s="2">
        <v>20</v>
      </c>
      <c r="U30" s="2">
        <v>40</v>
      </c>
      <c r="V30" s="2">
        <v>60</v>
      </c>
      <c r="W30" s="2">
        <v>80</v>
      </c>
      <c r="X30" s="2">
        <v>100</v>
      </c>
      <c r="Y30" s="2">
        <v>120</v>
      </c>
      <c r="Z30" s="2">
        <v>140</v>
      </c>
      <c r="AA30" s="2">
        <v>150</v>
      </c>
    </row>
    <row r="31" spans="1:27" ht="16.5" customHeight="1">
      <c r="A31" s="8">
        <v>30</v>
      </c>
      <c r="B31" s="3" t="str">
        <f t="shared" si="1"/>
        <v>[20,40,60,80,100,120,140,150]</v>
      </c>
      <c r="C31" s="3" t="str">
        <f t="shared" si="2"/>
        <v>["None","Hp","Hp","HpBonus","StageExpEarn","StageGoldEarn","StageGrowthEarn","AwakeningHpBonus"]</v>
      </c>
      <c r="D31" s="23" t="str">
        <f t="shared" si="3"/>
        <v>[0,120000,240000,31500,500,500,10,10]</v>
      </c>
      <c r="E31" s="20"/>
      <c r="F31" s="2" t="s">
        <v>479</v>
      </c>
      <c r="G31" s="2">
        <v>120000</v>
      </c>
      <c r="H31" s="2" t="s">
        <v>479</v>
      </c>
      <c r="I31" s="2">
        <f t="shared" si="0"/>
        <v>240000</v>
      </c>
      <c r="J31" s="2" t="s">
        <v>480</v>
      </c>
      <c r="K31" s="2">
        <v>31500</v>
      </c>
      <c r="L31" s="8" t="s">
        <v>481</v>
      </c>
      <c r="M31" s="2">
        <v>500</v>
      </c>
      <c r="N31" s="8" t="s">
        <v>482</v>
      </c>
      <c r="O31" s="2">
        <v>500</v>
      </c>
      <c r="P31" s="8" t="s">
        <v>483</v>
      </c>
      <c r="Q31" s="2">
        <v>10</v>
      </c>
      <c r="R31" s="8" t="s">
        <v>484</v>
      </c>
      <c r="S31" s="8">
        <v>10</v>
      </c>
      <c r="T31" s="8">
        <v>20</v>
      </c>
      <c r="U31" s="8">
        <v>40</v>
      </c>
      <c r="V31" s="8">
        <v>60</v>
      </c>
      <c r="W31" s="8">
        <v>80</v>
      </c>
      <c r="X31" s="8">
        <v>100</v>
      </c>
      <c r="Y31" s="8">
        <v>120</v>
      </c>
      <c r="Z31" s="8">
        <v>140</v>
      </c>
      <c r="AA31" s="8">
        <v>150</v>
      </c>
    </row>
    <row r="32" spans="1:27" ht="16.5" customHeight="1">
      <c r="A32" s="2">
        <v>31</v>
      </c>
      <c r="B32" s="3" t="str">
        <f t="shared" si="1"/>
        <v>[20,40,60,80,100,120,140,150]</v>
      </c>
      <c r="C32" s="3" t="str">
        <f t="shared" si="2"/>
        <v>["None","Hp","Hp","HpBonus","StageExpEarn","StageGoldEarn","StageGrowthEarn","AwakeningHpBonus"]</v>
      </c>
      <c r="D32" s="23" t="str">
        <f t="shared" si="3"/>
        <v>[0,150000,300000,33000,500,500,10,15]</v>
      </c>
      <c r="E32" s="20"/>
      <c r="F32" s="2" t="s">
        <v>479</v>
      </c>
      <c r="G32" s="2">
        <v>150000</v>
      </c>
      <c r="H32" s="2" t="s">
        <v>479</v>
      </c>
      <c r="I32" s="2">
        <f t="shared" si="0"/>
        <v>300000</v>
      </c>
      <c r="J32" s="2" t="s">
        <v>480</v>
      </c>
      <c r="K32" s="2">
        <v>33000</v>
      </c>
      <c r="L32" s="2" t="s">
        <v>481</v>
      </c>
      <c r="M32" s="2">
        <v>500</v>
      </c>
      <c r="N32" s="2" t="s">
        <v>482</v>
      </c>
      <c r="O32" s="2">
        <v>500</v>
      </c>
      <c r="P32" s="2" t="s">
        <v>483</v>
      </c>
      <c r="Q32" s="2">
        <v>10</v>
      </c>
      <c r="R32" s="2" t="s">
        <v>484</v>
      </c>
      <c r="S32" s="2">
        <v>15</v>
      </c>
      <c r="T32" s="2">
        <v>20</v>
      </c>
      <c r="U32" s="2">
        <v>40</v>
      </c>
      <c r="V32" s="2">
        <v>60</v>
      </c>
      <c r="W32" s="2">
        <v>80</v>
      </c>
      <c r="X32" s="2">
        <v>100</v>
      </c>
      <c r="Y32" s="2">
        <v>120</v>
      </c>
      <c r="Z32" s="2">
        <v>140</v>
      </c>
      <c r="AA32" s="2">
        <v>150</v>
      </c>
    </row>
    <row r="33" spans="1:27" ht="16.5" customHeight="1">
      <c r="A33" s="2">
        <v>32</v>
      </c>
      <c r="B33" s="3" t="str">
        <f t="shared" si="1"/>
        <v>[20,40,60,80,100,120,140,150]</v>
      </c>
      <c r="C33" s="3" t="str">
        <f t="shared" si="2"/>
        <v>["None","Hp","Hp","HpBonus","StageExpEarn","StageGoldEarn","StageGrowthEarn","AwakeningHpBonus"]</v>
      </c>
      <c r="D33" s="23" t="str">
        <f t="shared" si="3"/>
        <v>[0,180000,360000,39000,500,500,10,15]</v>
      </c>
      <c r="E33" s="20"/>
      <c r="F33" s="2" t="s">
        <v>479</v>
      </c>
      <c r="G33" s="2">
        <v>180000</v>
      </c>
      <c r="H33" s="2" t="s">
        <v>479</v>
      </c>
      <c r="I33" s="2">
        <f t="shared" si="0"/>
        <v>360000</v>
      </c>
      <c r="J33" s="2" t="s">
        <v>480</v>
      </c>
      <c r="K33" s="2">
        <v>39000</v>
      </c>
      <c r="L33" s="2" t="s">
        <v>481</v>
      </c>
      <c r="M33" s="2">
        <v>500</v>
      </c>
      <c r="N33" s="2" t="s">
        <v>482</v>
      </c>
      <c r="O33" s="2">
        <v>500</v>
      </c>
      <c r="P33" s="2" t="s">
        <v>483</v>
      </c>
      <c r="Q33" s="2">
        <v>10</v>
      </c>
      <c r="R33" s="2" t="s">
        <v>484</v>
      </c>
      <c r="S33" s="2">
        <v>15</v>
      </c>
      <c r="T33" s="2">
        <v>20</v>
      </c>
      <c r="U33" s="2">
        <v>40</v>
      </c>
      <c r="V33" s="2">
        <v>60</v>
      </c>
      <c r="W33" s="2">
        <v>80</v>
      </c>
      <c r="X33" s="2">
        <v>100</v>
      </c>
      <c r="Y33" s="2">
        <v>120</v>
      </c>
      <c r="Z33" s="2">
        <v>140</v>
      </c>
      <c r="AA33" s="2">
        <v>150</v>
      </c>
    </row>
    <row r="34" spans="1:27" ht="16.5" customHeight="1">
      <c r="A34" s="2">
        <v>33</v>
      </c>
      <c r="B34" s="3" t="str">
        <f t="shared" si="1"/>
        <v>[20,40,60,80,100,120,140,150]</v>
      </c>
      <c r="C34" s="3" t="str">
        <f t="shared" si="2"/>
        <v>["None","Hp","Hp","HpBonus","StageExpEarn","StageGoldEarn","StageGrowthEarn","AwakeningHpBonus"]</v>
      </c>
      <c r="D34" s="23" t="str">
        <f t="shared" si="3"/>
        <v>[0,210000,420000,45000,500,500,10,15]</v>
      </c>
      <c r="E34" s="20"/>
      <c r="F34" s="2" t="s">
        <v>479</v>
      </c>
      <c r="G34" s="2">
        <v>210000</v>
      </c>
      <c r="H34" s="2" t="s">
        <v>479</v>
      </c>
      <c r="I34" s="2">
        <f t="shared" si="0"/>
        <v>420000</v>
      </c>
      <c r="J34" s="2" t="s">
        <v>480</v>
      </c>
      <c r="K34" s="2">
        <v>45000</v>
      </c>
      <c r="L34" s="2" t="s">
        <v>481</v>
      </c>
      <c r="M34" s="2">
        <v>500</v>
      </c>
      <c r="N34" s="2" t="s">
        <v>482</v>
      </c>
      <c r="O34" s="2">
        <v>500</v>
      </c>
      <c r="P34" s="2" t="s">
        <v>483</v>
      </c>
      <c r="Q34" s="2">
        <v>10</v>
      </c>
      <c r="R34" s="2" t="s">
        <v>484</v>
      </c>
      <c r="S34" s="2">
        <v>15</v>
      </c>
      <c r="T34" s="2">
        <v>20</v>
      </c>
      <c r="U34" s="2">
        <v>40</v>
      </c>
      <c r="V34" s="2">
        <v>60</v>
      </c>
      <c r="W34" s="2">
        <v>80</v>
      </c>
      <c r="X34" s="2">
        <v>100</v>
      </c>
      <c r="Y34" s="2">
        <v>120</v>
      </c>
      <c r="Z34" s="2">
        <v>140</v>
      </c>
      <c r="AA34" s="2">
        <v>150</v>
      </c>
    </row>
    <row r="35" spans="1:27" ht="16.5" customHeight="1">
      <c r="A35" s="2">
        <v>34</v>
      </c>
      <c r="B35" s="3" t="str">
        <f t="shared" si="1"/>
        <v>[20,40,60,80,100,120,140,150]</v>
      </c>
      <c r="C35" s="3" t="str">
        <f t="shared" si="2"/>
        <v>["None","Hp","Hp","HpBonus","StageExpEarn","StageGoldEarn","StageGrowthEarn","AwakeningHpBonus"]</v>
      </c>
      <c r="D35" s="23" t="str">
        <f t="shared" si="3"/>
        <v>[0,240000,480000,51000,500,500,10,15]</v>
      </c>
      <c r="E35" s="20"/>
      <c r="F35" s="2" t="s">
        <v>479</v>
      </c>
      <c r="G35" s="2">
        <v>240000</v>
      </c>
      <c r="H35" s="2" t="s">
        <v>479</v>
      </c>
      <c r="I35" s="2">
        <f t="shared" si="0"/>
        <v>480000</v>
      </c>
      <c r="J35" s="2" t="s">
        <v>480</v>
      </c>
      <c r="K35" s="2">
        <v>51000</v>
      </c>
      <c r="L35" s="2" t="s">
        <v>481</v>
      </c>
      <c r="M35" s="2">
        <v>500</v>
      </c>
      <c r="N35" s="2" t="s">
        <v>482</v>
      </c>
      <c r="O35" s="2">
        <v>500</v>
      </c>
      <c r="P35" s="2" t="s">
        <v>483</v>
      </c>
      <c r="Q35" s="2">
        <v>10</v>
      </c>
      <c r="R35" s="2" t="s">
        <v>484</v>
      </c>
      <c r="S35" s="2">
        <v>15</v>
      </c>
      <c r="T35" s="2">
        <v>20</v>
      </c>
      <c r="U35" s="2">
        <v>40</v>
      </c>
      <c r="V35" s="2">
        <v>60</v>
      </c>
      <c r="W35" s="2">
        <v>80</v>
      </c>
      <c r="X35" s="2">
        <v>100</v>
      </c>
      <c r="Y35" s="2">
        <v>120</v>
      </c>
      <c r="Z35" s="2">
        <v>140</v>
      </c>
      <c r="AA35" s="2">
        <v>150</v>
      </c>
    </row>
    <row r="36" spans="1:27" ht="16.5" customHeight="1">
      <c r="A36" s="9">
        <v>35</v>
      </c>
      <c r="B36" s="3" t="str">
        <f t="shared" si="1"/>
        <v>[20,40,60,80,100,120,140,150]</v>
      </c>
      <c r="C36" s="3" t="str">
        <f t="shared" si="2"/>
        <v>["None","Hp","Hp","HpBonus","StageExpEarn","StageGoldEarn","StageGrowthEarn","AwakeningHpBonus"]</v>
      </c>
      <c r="D36" s="23" t="str">
        <f t="shared" si="3"/>
        <v>[0,300000,600000,63000,500,500,10,20]</v>
      </c>
      <c r="E36" s="20"/>
      <c r="F36" s="2" t="s">
        <v>479</v>
      </c>
      <c r="G36" s="2">
        <v>300000</v>
      </c>
      <c r="H36" s="2" t="s">
        <v>479</v>
      </c>
      <c r="I36" s="2">
        <f t="shared" si="0"/>
        <v>600000</v>
      </c>
      <c r="J36" s="2" t="s">
        <v>480</v>
      </c>
      <c r="K36" s="2">
        <v>63000</v>
      </c>
      <c r="L36" s="9" t="s">
        <v>481</v>
      </c>
      <c r="M36" s="2">
        <v>500</v>
      </c>
      <c r="N36" s="9" t="s">
        <v>482</v>
      </c>
      <c r="O36" s="2">
        <v>500</v>
      </c>
      <c r="P36" s="9" t="s">
        <v>483</v>
      </c>
      <c r="Q36" s="2">
        <v>10</v>
      </c>
      <c r="R36" s="9" t="s">
        <v>484</v>
      </c>
      <c r="S36" s="9">
        <v>20</v>
      </c>
      <c r="T36" s="9">
        <v>20</v>
      </c>
      <c r="U36" s="9">
        <v>40</v>
      </c>
      <c r="V36" s="9">
        <v>60</v>
      </c>
      <c r="W36" s="9">
        <v>80</v>
      </c>
      <c r="X36" s="9">
        <v>100</v>
      </c>
      <c r="Y36" s="9">
        <v>120</v>
      </c>
      <c r="Z36" s="9">
        <v>140</v>
      </c>
      <c r="AA36" s="9">
        <v>150</v>
      </c>
    </row>
    <row r="37" spans="1:27" ht="16.5" customHeight="1">
      <c r="A37" s="3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5"/>
  <sheetViews>
    <sheetView zoomScaleNormal="100" workbookViewId="0">
      <selection activeCell="H2" sqref="H2:H29"/>
    </sheetView>
  </sheetViews>
  <sheetFormatPr defaultRowHeight="16.5" customHeight="1"/>
  <cols>
    <col min="2" max="2" width="16.09765625" customWidth="1"/>
    <col min="3" max="3" width="16.19921875" customWidth="1"/>
    <col min="4" max="4" width="17.5" style="22" customWidth="1"/>
    <col min="5" max="5" width="20.59765625" customWidth="1"/>
    <col min="6" max="6" width="10.19921875" bestFit="1" customWidth="1"/>
    <col min="7" max="7" width="23.5" bestFit="1" customWidth="1"/>
    <col min="9" max="9" width="16.19921875" bestFit="1" customWidth="1"/>
    <col min="10" max="10" width="9.5" bestFit="1" customWidth="1"/>
    <col min="11" max="11" width="20.69921875" bestFit="1" customWidth="1"/>
    <col min="13" max="13" width="19.69921875" bestFit="1" customWidth="1"/>
    <col min="15" max="15" width="22.8984375" customWidth="1"/>
    <col min="23" max="23" width="41.19921875" bestFit="1" customWidth="1"/>
    <col min="24" max="24" width="73.09765625" bestFit="1" customWidth="1"/>
  </cols>
  <sheetData>
    <row r="1" spans="1:24" ht="16.5" customHeight="1" thickBot="1">
      <c r="A1" s="1" t="s">
        <v>0</v>
      </c>
      <c r="B1" s="1" t="s">
        <v>456</v>
      </c>
      <c r="C1" s="1" t="s">
        <v>457</v>
      </c>
      <c r="D1" s="21" t="s">
        <v>458</v>
      </c>
      <c r="E1" s="1"/>
      <c r="F1" s="1" t="s">
        <v>29</v>
      </c>
      <c r="G1" s="1" t="s">
        <v>459</v>
      </c>
      <c r="H1" s="1" t="s">
        <v>19</v>
      </c>
      <c r="I1" s="1" t="s">
        <v>460</v>
      </c>
      <c r="J1" s="1" t="s">
        <v>20</v>
      </c>
      <c r="K1" s="1" t="s">
        <v>461</v>
      </c>
      <c r="L1" s="1" t="s">
        <v>21</v>
      </c>
      <c r="M1" s="1" t="s">
        <v>462</v>
      </c>
      <c r="N1" s="1" t="s">
        <v>22</v>
      </c>
      <c r="O1" s="1" t="s">
        <v>463</v>
      </c>
      <c r="P1" s="1" t="s">
        <v>23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471</v>
      </c>
    </row>
    <row r="2" spans="1:24" ht="16.5" customHeight="1" thickBot="1">
      <c r="A2" s="2">
        <v>1</v>
      </c>
      <c r="B2" s="23" t="s">
        <v>485</v>
      </c>
      <c r="C2" s="23" t="s">
        <v>486</v>
      </c>
      <c r="D2" s="23" t="str">
        <f t="shared" ref="D2:D29" si="0">"[" &amp; 0 &amp; "," &amp; H2 &amp; "," &amp; J2 &amp; "," &amp; L2 &amp; "," &amp; N2 &amp; "," &amp; P2 &amp; "]"</f>
        <v>[0,168,2,5,2,2]</v>
      </c>
      <c r="E2" s="16"/>
      <c r="F2" s="36" t="s">
        <v>42</v>
      </c>
      <c r="G2" s="37" t="s">
        <v>487</v>
      </c>
      <c r="H2" s="37">
        <v>168</v>
      </c>
      <c r="I2" s="37" t="s">
        <v>488</v>
      </c>
      <c r="J2" s="37">
        <v>2</v>
      </c>
      <c r="K2" s="37" t="s">
        <v>489</v>
      </c>
      <c r="L2" s="37">
        <v>5</v>
      </c>
      <c r="M2" s="37" t="s">
        <v>484</v>
      </c>
      <c r="N2" s="37">
        <v>2</v>
      </c>
      <c r="O2" s="37" t="s">
        <v>478</v>
      </c>
      <c r="P2" s="37">
        <v>2</v>
      </c>
      <c r="Q2" s="37">
        <v>20</v>
      </c>
      <c r="R2" s="37">
        <v>40</v>
      </c>
      <c r="S2" s="37">
        <v>70</v>
      </c>
      <c r="T2" s="37">
        <v>100</v>
      </c>
      <c r="U2" s="37">
        <v>130</v>
      </c>
      <c r="V2" s="37">
        <v>150</v>
      </c>
      <c r="W2" s="2"/>
      <c r="X2" s="2"/>
    </row>
    <row r="3" spans="1:24" ht="16.5" customHeight="1" thickBot="1">
      <c r="A3" s="2">
        <v>2</v>
      </c>
      <c r="B3" s="23" t="s">
        <v>485</v>
      </c>
      <c r="C3" s="23" t="s">
        <v>486</v>
      </c>
      <c r="D3" s="23" t="str">
        <f t="shared" si="0"/>
        <v>[0,35,2,5,2,2]</v>
      </c>
      <c r="E3" s="16"/>
      <c r="F3" s="38" t="s">
        <v>42</v>
      </c>
      <c r="G3" s="39" t="s">
        <v>487</v>
      </c>
      <c r="H3" s="39">
        <v>35</v>
      </c>
      <c r="I3" s="39" t="s">
        <v>488</v>
      </c>
      <c r="J3" s="39">
        <v>2</v>
      </c>
      <c r="K3" s="39" t="s">
        <v>489</v>
      </c>
      <c r="L3" s="39">
        <v>5</v>
      </c>
      <c r="M3" s="39" t="s">
        <v>484</v>
      </c>
      <c r="N3" s="39">
        <v>2</v>
      </c>
      <c r="O3" s="39" t="s">
        <v>478</v>
      </c>
      <c r="P3" s="39">
        <v>2</v>
      </c>
      <c r="Q3" s="39">
        <v>20</v>
      </c>
      <c r="R3" s="39">
        <v>40</v>
      </c>
      <c r="S3" s="39">
        <v>70</v>
      </c>
      <c r="T3" s="39">
        <v>100</v>
      </c>
      <c r="U3" s="39">
        <v>130</v>
      </c>
      <c r="V3" s="39">
        <v>150</v>
      </c>
      <c r="W3" s="2"/>
      <c r="X3" s="2"/>
    </row>
    <row r="4" spans="1:24" ht="16.5" customHeight="1" thickBot="1">
      <c r="A4" s="2">
        <v>3</v>
      </c>
      <c r="B4" s="23" t="s">
        <v>485</v>
      </c>
      <c r="C4" s="23" t="s">
        <v>486</v>
      </c>
      <c r="D4" s="23" t="str">
        <f t="shared" si="0"/>
        <v>[0,20,2,5,2,2]</v>
      </c>
      <c r="E4" s="16"/>
      <c r="F4" s="38" t="s">
        <v>42</v>
      </c>
      <c r="G4" s="39" t="s">
        <v>487</v>
      </c>
      <c r="H4" s="39">
        <v>20</v>
      </c>
      <c r="I4" s="39" t="s">
        <v>488</v>
      </c>
      <c r="J4" s="39">
        <v>2</v>
      </c>
      <c r="K4" s="39" t="s">
        <v>489</v>
      </c>
      <c r="L4" s="39">
        <v>5</v>
      </c>
      <c r="M4" s="39" t="s">
        <v>484</v>
      </c>
      <c r="N4" s="39">
        <v>2</v>
      </c>
      <c r="O4" s="39" t="s">
        <v>478</v>
      </c>
      <c r="P4" s="39">
        <v>2</v>
      </c>
      <c r="Q4" s="39">
        <v>20</v>
      </c>
      <c r="R4" s="39">
        <v>40</v>
      </c>
      <c r="S4" s="39">
        <v>70</v>
      </c>
      <c r="T4" s="39">
        <v>100</v>
      </c>
      <c r="U4" s="39">
        <v>130</v>
      </c>
      <c r="V4" s="39">
        <v>150</v>
      </c>
      <c r="W4" s="2"/>
      <c r="X4" s="2"/>
    </row>
    <row r="5" spans="1:24" ht="16.5" customHeight="1" thickBot="1">
      <c r="A5" s="2">
        <v>4</v>
      </c>
      <c r="B5" s="23" t="s">
        <v>485</v>
      </c>
      <c r="C5" s="23" t="s">
        <v>486</v>
      </c>
      <c r="D5" s="23" t="str">
        <f t="shared" si="0"/>
        <v>[0,56,2,5,2,2]</v>
      </c>
      <c r="E5" s="16"/>
      <c r="F5" s="38" t="s">
        <v>42</v>
      </c>
      <c r="G5" s="39" t="s">
        <v>487</v>
      </c>
      <c r="H5" s="39">
        <v>56</v>
      </c>
      <c r="I5" s="39" t="s">
        <v>488</v>
      </c>
      <c r="J5" s="39">
        <v>2</v>
      </c>
      <c r="K5" s="39" t="s">
        <v>489</v>
      </c>
      <c r="L5" s="39">
        <v>5</v>
      </c>
      <c r="M5" s="39" t="s">
        <v>484</v>
      </c>
      <c r="N5" s="39">
        <v>2</v>
      </c>
      <c r="O5" s="39" t="s">
        <v>478</v>
      </c>
      <c r="P5" s="39">
        <v>2</v>
      </c>
      <c r="Q5" s="39">
        <v>20</v>
      </c>
      <c r="R5" s="39">
        <v>40</v>
      </c>
      <c r="S5" s="39">
        <v>70</v>
      </c>
      <c r="T5" s="39">
        <v>100</v>
      </c>
      <c r="U5" s="39">
        <v>130</v>
      </c>
      <c r="V5" s="39">
        <v>150</v>
      </c>
      <c r="W5" s="2"/>
      <c r="X5" s="2"/>
    </row>
    <row r="6" spans="1:24" ht="16.5" customHeight="1" thickBot="1">
      <c r="A6" s="2">
        <v>5</v>
      </c>
      <c r="B6" s="23" t="s">
        <v>485</v>
      </c>
      <c r="C6" s="23" t="s">
        <v>486</v>
      </c>
      <c r="D6" s="23" t="str">
        <f t="shared" si="0"/>
        <v>[0,20,3,7,3,3]</v>
      </c>
      <c r="E6" s="16"/>
      <c r="F6" s="38" t="s">
        <v>62</v>
      </c>
      <c r="G6" s="39" t="s">
        <v>487</v>
      </c>
      <c r="H6" s="39">
        <v>20</v>
      </c>
      <c r="I6" s="39" t="s">
        <v>488</v>
      </c>
      <c r="J6" s="39">
        <v>3</v>
      </c>
      <c r="K6" s="39" t="s">
        <v>489</v>
      </c>
      <c r="L6" s="39">
        <v>7</v>
      </c>
      <c r="M6" s="39" t="s">
        <v>484</v>
      </c>
      <c r="N6" s="39">
        <v>3</v>
      </c>
      <c r="O6" s="39" t="s">
        <v>478</v>
      </c>
      <c r="P6" s="39">
        <v>3</v>
      </c>
      <c r="Q6" s="39">
        <v>20</v>
      </c>
      <c r="R6" s="39">
        <v>40</v>
      </c>
      <c r="S6" s="39">
        <v>70</v>
      </c>
      <c r="T6" s="39">
        <v>100</v>
      </c>
      <c r="U6" s="39">
        <v>130</v>
      </c>
      <c r="V6" s="39">
        <v>150</v>
      </c>
      <c r="W6" s="2"/>
      <c r="X6" s="2"/>
    </row>
    <row r="7" spans="1:24" ht="16.5" customHeight="1" thickBot="1">
      <c r="A7" s="2">
        <v>6</v>
      </c>
      <c r="B7" s="23" t="s">
        <v>485</v>
      </c>
      <c r="C7" s="23" t="s">
        <v>486</v>
      </c>
      <c r="D7" s="23" t="str">
        <f t="shared" si="0"/>
        <v>[0,21,3,7,3,3]</v>
      </c>
      <c r="E7" s="16"/>
      <c r="F7" s="38" t="s">
        <v>62</v>
      </c>
      <c r="G7" s="39" t="s">
        <v>487</v>
      </c>
      <c r="H7" s="39">
        <v>21</v>
      </c>
      <c r="I7" s="39" t="s">
        <v>488</v>
      </c>
      <c r="J7" s="39">
        <v>3</v>
      </c>
      <c r="K7" s="39" t="s">
        <v>489</v>
      </c>
      <c r="L7" s="39">
        <v>7</v>
      </c>
      <c r="M7" s="39" t="s">
        <v>484</v>
      </c>
      <c r="N7" s="39">
        <v>3</v>
      </c>
      <c r="O7" s="39" t="s">
        <v>478</v>
      </c>
      <c r="P7" s="39">
        <v>3</v>
      </c>
      <c r="Q7" s="39">
        <v>20</v>
      </c>
      <c r="R7" s="39">
        <v>40</v>
      </c>
      <c r="S7" s="39">
        <v>70</v>
      </c>
      <c r="T7" s="39">
        <v>100</v>
      </c>
      <c r="U7" s="39">
        <v>130</v>
      </c>
      <c r="V7" s="39">
        <v>150</v>
      </c>
      <c r="W7" s="2"/>
      <c r="X7" s="2"/>
    </row>
    <row r="8" spans="1:24" ht="16.5" customHeight="1" thickBot="1">
      <c r="A8" s="2">
        <v>7</v>
      </c>
      <c r="B8" s="23" t="s">
        <v>485</v>
      </c>
      <c r="C8" s="23" t="s">
        <v>486</v>
      </c>
      <c r="D8" s="23" t="str">
        <f t="shared" si="0"/>
        <v>[0,77,3,7,3,3]</v>
      </c>
      <c r="E8" s="16"/>
      <c r="F8" s="38" t="s">
        <v>62</v>
      </c>
      <c r="G8" s="39" t="s">
        <v>487</v>
      </c>
      <c r="H8" s="39">
        <v>77</v>
      </c>
      <c r="I8" s="39" t="s">
        <v>488</v>
      </c>
      <c r="J8" s="39">
        <v>3</v>
      </c>
      <c r="K8" s="39" t="s">
        <v>489</v>
      </c>
      <c r="L8" s="39">
        <v>7</v>
      </c>
      <c r="M8" s="39" t="s">
        <v>484</v>
      </c>
      <c r="N8" s="39">
        <v>3</v>
      </c>
      <c r="O8" s="39" t="s">
        <v>478</v>
      </c>
      <c r="P8" s="39">
        <v>3</v>
      </c>
      <c r="Q8" s="39">
        <v>20</v>
      </c>
      <c r="R8" s="39">
        <v>40</v>
      </c>
      <c r="S8" s="39">
        <v>70</v>
      </c>
      <c r="T8" s="39">
        <v>100</v>
      </c>
      <c r="U8" s="39">
        <v>130</v>
      </c>
      <c r="V8" s="39">
        <v>150</v>
      </c>
      <c r="W8" s="2"/>
      <c r="X8" s="2"/>
    </row>
    <row r="9" spans="1:24" ht="16.5" customHeight="1" thickBot="1">
      <c r="A9" s="2">
        <v>8</v>
      </c>
      <c r="B9" s="23" t="s">
        <v>485</v>
      </c>
      <c r="C9" s="23" t="s">
        <v>486</v>
      </c>
      <c r="D9" s="23" t="str">
        <f t="shared" si="0"/>
        <v>[0,560,3,7,3,3]</v>
      </c>
      <c r="E9" s="16"/>
      <c r="F9" s="38" t="s">
        <v>62</v>
      </c>
      <c r="G9" s="39" t="s">
        <v>487</v>
      </c>
      <c r="H9" s="39">
        <v>560</v>
      </c>
      <c r="I9" s="39" t="s">
        <v>488</v>
      </c>
      <c r="J9" s="39">
        <v>3</v>
      </c>
      <c r="K9" s="39" t="s">
        <v>489</v>
      </c>
      <c r="L9" s="39">
        <v>7</v>
      </c>
      <c r="M9" s="39" t="s">
        <v>484</v>
      </c>
      <c r="N9" s="39">
        <v>3</v>
      </c>
      <c r="O9" s="39" t="s">
        <v>478</v>
      </c>
      <c r="P9" s="39">
        <v>3</v>
      </c>
      <c r="Q9" s="39">
        <v>20</v>
      </c>
      <c r="R9" s="39">
        <v>40</v>
      </c>
      <c r="S9" s="39">
        <v>70</v>
      </c>
      <c r="T9" s="39">
        <v>100</v>
      </c>
      <c r="U9" s="39">
        <v>130</v>
      </c>
      <c r="V9" s="39">
        <v>150</v>
      </c>
      <c r="W9" s="2"/>
      <c r="X9" s="2"/>
    </row>
    <row r="10" spans="1:24" ht="16.5" customHeight="1" thickBot="1">
      <c r="A10" s="2">
        <v>9</v>
      </c>
      <c r="B10" s="23" t="s">
        <v>485</v>
      </c>
      <c r="C10" s="23" t="s">
        <v>486</v>
      </c>
      <c r="D10" s="23" t="str">
        <f t="shared" si="0"/>
        <v>[0,217,5,7,5,5]</v>
      </c>
      <c r="E10" s="16"/>
      <c r="F10" s="38" t="s">
        <v>82</v>
      </c>
      <c r="G10" s="39" t="s">
        <v>487</v>
      </c>
      <c r="H10" s="39">
        <v>217</v>
      </c>
      <c r="I10" s="39" t="s">
        <v>488</v>
      </c>
      <c r="J10" s="39">
        <v>5</v>
      </c>
      <c r="K10" s="39" t="s">
        <v>489</v>
      </c>
      <c r="L10" s="39">
        <v>7</v>
      </c>
      <c r="M10" s="39" t="s">
        <v>484</v>
      </c>
      <c r="N10" s="39">
        <v>5</v>
      </c>
      <c r="O10" s="39" t="s">
        <v>478</v>
      </c>
      <c r="P10" s="39">
        <v>5</v>
      </c>
      <c r="Q10" s="39">
        <v>20</v>
      </c>
      <c r="R10" s="39">
        <v>40</v>
      </c>
      <c r="S10" s="39">
        <v>70</v>
      </c>
      <c r="T10" s="39">
        <v>100</v>
      </c>
      <c r="U10" s="39">
        <v>130</v>
      </c>
      <c r="V10" s="39">
        <v>150</v>
      </c>
      <c r="W10" s="2"/>
      <c r="X10" s="2"/>
    </row>
    <row r="11" spans="1:24" ht="16.5" customHeight="1" thickBot="1">
      <c r="A11" s="2">
        <v>10</v>
      </c>
      <c r="B11" s="23" t="s">
        <v>485</v>
      </c>
      <c r="C11" s="23" t="s">
        <v>486</v>
      </c>
      <c r="D11" s="23" t="str">
        <f t="shared" si="0"/>
        <v>[0,186,5,7,5,5]</v>
      </c>
      <c r="E11" s="16"/>
      <c r="F11" s="38" t="s">
        <v>82</v>
      </c>
      <c r="G11" s="39" t="s">
        <v>487</v>
      </c>
      <c r="H11" s="39">
        <v>186</v>
      </c>
      <c r="I11" s="39" t="s">
        <v>488</v>
      </c>
      <c r="J11" s="39">
        <v>5</v>
      </c>
      <c r="K11" s="39" t="s">
        <v>489</v>
      </c>
      <c r="L11" s="39">
        <v>7</v>
      </c>
      <c r="M11" s="39" t="s">
        <v>484</v>
      </c>
      <c r="N11" s="39">
        <v>5</v>
      </c>
      <c r="O11" s="39" t="s">
        <v>478</v>
      </c>
      <c r="P11" s="39">
        <v>5</v>
      </c>
      <c r="Q11" s="39">
        <v>20</v>
      </c>
      <c r="R11" s="39">
        <v>40</v>
      </c>
      <c r="S11" s="39">
        <v>70</v>
      </c>
      <c r="T11" s="39">
        <v>100</v>
      </c>
      <c r="U11" s="39">
        <v>130</v>
      </c>
      <c r="V11" s="39">
        <v>150</v>
      </c>
      <c r="W11" s="2"/>
      <c r="X11" s="2"/>
    </row>
    <row r="12" spans="1:24" ht="16.5" customHeight="1" thickBot="1">
      <c r="A12" s="2">
        <v>11</v>
      </c>
      <c r="B12" s="23" t="s">
        <v>485</v>
      </c>
      <c r="C12" s="23" t="s">
        <v>486</v>
      </c>
      <c r="D12" s="23" t="str">
        <f t="shared" si="0"/>
        <v>[0,23,5,7,5,5]</v>
      </c>
      <c r="E12" s="16"/>
      <c r="F12" s="38" t="s">
        <v>82</v>
      </c>
      <c r="G12" s="39" t="s">
        <v>487</v>
      </c>
      <c r="H12" s="39">
        <v>23</v>
      </c>
      <c r="I12" s="39" t="s">
        <v>488</v>
      </c>
      <c r="J12" s="39">
        <v>5</v>
      </c>
      <c r="K12" s="39" t="s">
        <v>489</v>
      </c>
      <c r="L12" s="39">
        <v>7</v>
      </c>
      <c r="M12" s="39" t="s">
        <v>484</v>
      </c>
      <c r="N12" s="39">
        <v>5</v>
      </c>
      <c r="O12" s="39" t="s">
        <v>478</v>
      </c>
      <c r="P12" s="39">
        <v>5</v>
      </c>
      <c r="Q12" s="39">
        <v>20</v>
      </c>
      <c r="R12" s="39">
        <v>40</v>
      </c>
      <c r="S12" s="39">
        <v>70</v>
      </c>
      <c r="T12" s="39">
        <v>100</v>
      </c>
      <c r="U12" s="39">
        <v>130</v>
      </c>
      <c r="V12" s="39">
        <v>150</v>
      </c>
      <c r="W12" s="2"/>
      <c r="X12" s="2"/>
    </row>
    <row r="13" spans="1:24" ht="16.5" customHeight="1" thickBot="1">
      <c r="A13" s="2">
        <v>12</v>
      </c>
      <c r="B13" s="23" t="s">
        <v>485</v>
      </c>
      <c r="C13" s="23" t="s">
        <v>486</v>
      </c>
      <c r="D13" s="23" t="str">
        <f t="shared" si="0"/>
        <v>[0,56,5,7,5,5]</v>
      </c>
      <c r="E13" s="16"/>
      <c r="F13" s="38" t="s">
        <v>82</v>
      </c>
      <c r="G13" s="39" t="s">
        <v>487</v>
      </c>
      <c r="H13" s="39">
        <v>56</v>
      </c>
      <c r="I13" s="39" t="s">
        <v>488</v>
      </c>
      <c r="J13" s="39">
        <v>5</v>
      </c>
      <c r="K13" s="39" t="s">
        <v>489</v>
      </c>
      <c r="L13" s="39">
        <v>7</v>
      </c>
      <c r="M13" s="39" t="s">
        <v>484</v>
      </c>
      <c r="N13" s="39">
        <v>5</v>
      </c>
      <c r="O13" s="39" t="s">
        <v>478</v>
      </c>
      <c r="P13" s="39">
        <v>5</v>
      </c>
      <c r="Q13" s="39">
        <v>20</v>
      </c>
      <c r="R13" s="39">
        <v>40</v>
      </c>
      <c r="S13" s="39">
        <v>70</v>
      </c>
      <c r="T13" s="39">
        <v>100</v>
      </c>
      <c r="U13" s="39">
        <v>130</v>
      </c>
      <c r="V13" s="39">
        <v>150</v>
      </c>
      <c r="W13" s="2"/>
      <c r="X13" s="2"/>
    </row>
    <row r="14" spans="1:24" ht="16.5" customHeight="1" thickBot="1">
      <c r="A14" s="2">
        <v>13</v>
      </c>
      <c r="B14" s="23" t="s">
        <v>485</v>
      </c>
      <c r="C14" s="23" t="s">
        <v>486</v>
      </c>
      <c r="D14" s="23" t="str">
        <f t="shared" si="0"/>
        <v>[0,34,5,10,7,7]</v>
      </c>
      <c r="E14" s="16"/>
      <c r="F14" s="38" t="s">
        <v>102</v>
      </c>
      <c r="G14" s="39" t="s">
        <v>487</v>
      </c>
      <c r="H14" s="39">
        <v>34</v>
      </c>
      <c r="I14" s="39" t="s">
        <v>488</v>
      </c>
      <c r="J14" s="39">
        <v>5</v>
      </c>
      <c r="K14" s="39" t="s">
        <v>489</v>
      </c>
      <c r="L14" s="39">
        <v>10</v>
      </c>
      <c r="M14" s="39" t="s">
        <v>484</v>
      </c>
      <c r="N14" s="39">
        <v>7</v>
      </c>
      <c r="O14" s="39" t="s">
        <v>478</v>
      </c>
      <c r="P14" s="39">
        <v>7</v>
      </c>
      <c r="Q14" s="39">
        <v>20</v>
      </c>
      <c r="R14" s="39">
        <v>40</v>
      </c>
      <c r="S14" s="39">
        <v>70</v>
      </c>
      <c r="T14" s="39">
        <v>100</v>
      </c>
      <c r="U14" s="39">
        <v>130</v>
      </c>
      <c r="V14" s="39">
        <v>150</v>
      </c>
      <c r="W14" s="2"/>
      <c r="X14" s="2"/>
    </row>
    <row r="15" spans="1:24" ht="16.5" customHeight="1" thickBot="1">
      <c r="A15" s="2">
        <v>14</v>
      </c>
      <c r="B15" s="23" t="s">
        <v>485</v>
      </c>
      <c r="C15" s="23" t="s">
        <v>486</v>
      </c>
      <c r="D15" s="23" t="str">
        <f t="shared" si="0"/>
        <v>[0,47,5,10,7,7]</v>
      </c>
      <c r="E15" s="16"/>
      <c r="F15" s="38" t="s">
        <v>102</v>
      </c>
      <c r="G15" s="39" t="s">
        <v>487</v>
      </c>
      <c r="H15" s="39">
        <v>47</v>
      </c>
      <c r="I15" s="39" t="s">
        <v>488</v>
      </c>
      <c r="J15" s="39">
        <v>5</v>
      </c>
      <c r="K15" s="39" t="s">
        <v>489</v>
      </c>
      <c r="L15" s="39">
        <v>10</v>
      </c>
      <c r="M15" s="39" t="s">
        <v>484</v>
      </c>
      <c r="N15" s="39">
        <v>7</v>
      </c>
      <c r="O15" s="39" t="s">
        <v>478</v>
      </c>
      <c r="P15" s="39">
        <v>7</v>
      </c>
      <c r="Q15" s="39">
        <v>20</v>
      </c>
      <c r="R15" s="39">
        <v>40</v>
      </c>
      <c r="S15" s="39">
        <v>70</v>
      </c>
      <c r="T15" s="39">
        <v>100</v>
      </c>
      <c r="U15" s="39">
        <v>130</v>
      </c>
      <c r="V15" s="39">
        <v>150</v>
      </c>
      <c r="W15" s="2"/>
      <c r="X15" s="2"/>
    </row>
    <row r="16" spans="1:24" ht="16.5" customHeight="1" thickBot="1">
      <c r="A16" s="2">
        <v>15</v>
      </c>
      <c r="B16" s="23" t="s">
        <v>485</v>
      </c>
      <c r="C16" s="23" t="s">
        <v>486</v>
      </c>
      <c r="D16" s="23" t="str">
        <f t="shared" si="0"/>
        <v>[0,300,5,10,7,7]</v>
      </c>
      <c r="E16" s="16"/>
      <c r="F16" s="38" t="s">
        <v>102</v>
      </c>
      <c r="G16" s="39" t="s">
        <v>487</v>
      </c>
      <c r="H16" s="39">
        <v>300</v>
      </c>
      <c r="I16" s="39" t="s">
        <v>488</v>
      </c>
      <c r="J16" s="39">
        <v>5</v>
      </c>
      <c r="K16" s="39" t="s">
        <v>489</v>
      </c>
      <c r="L16" s="39">
        <v>10</v>
      </c>
      <c r="M16" s="39" t="s">
        <v>484</v>
      </c>
      <c r="N16" s="39">
        <v>7</v>
      </c>
      <c r="O16" s="39" t="s">
        <v>478</v>
      </c>
      <c r="P16" s="39">
        <v>7</v>
      </c>
      <c r="Q16" s="39">
        <v>20</v>
      </c>
      <c r="R16" s="39">
        <v>40</v>
      </c>
      <c r="S16" s="39">
        <v>70</v>
      </c>
      <c r="T16" s="39">
        <v>100</v>
      </c>
      <c r="U16" s="39">
        <v>130</v>
      </c>
      <c r="V16" s="39">
        <v>150</v>
      </c>
      <c r="W16" s="2"/>
      <c r="X16" s="2"/>
    </row>
    <row r="17" spans="1:24" ht="16.5" customHeight="1" thickBot="1">
      <c r="A17" s="2">
        <v>16</v>
      </c>
      <c r="B17" s="23" t="s">
        <v>485</v>
      </c>
      <c r="C17" s="23" t="s">
        <v>486</v>
      </c>
      <c r="D17" s="23" t="str">
        <f t="shared" si="0"/>
        <v>[0,152,5,10,7,7]</v>
      </c>
      <c r="E17" s="16"/>
      <c r="F17" s="38" t="s">
        <v>102</v>
      </c>
      <c r="G17" s="39" t="s">
        <v>487</v>
      </c>
      <c r="H17" s="39">
        <v>152</v>
      </c>
      <c r="I17" s="39" t="s">
        <v>488</v>
      </c>
      <c r="J17" s="39">
        <v>5</v>
      </c>
      <c r="K17" s="39" t="s">
        <v>489</v>
      </c>
      <c r="L17" s="39">
        <v>10</v>
      </c>
      <c r="M17" s="39" t="s">
        <v>484</v>
      </c>
      <c r="N17" s="39">
        <v>7</v>
      </c>
      <c r="O17" s="39" t="s">
        <v>478</v>
      </c>
      <c r="P17" s="39">
        <v>7</v>
      </c>
      <c r="Q17" s="39">
        <v>20</v>
      </c>
      <c r="R17" s="39">
        <v>40</v>
      </c>
      <c r="S17" s="39">
        <v>70</v>
      </c>
      <c r="T17" s="39">
        <v>100</v>
      </c>
      <c r="U17" s="39">
        <v>130</v>
      </c>
      <c r="V17" s="39">
        <v>150</v>
      </c>
      <c r="W17" s="2"/>
      <c r="X17" s="2"/>
    </row>
    <row r="18" spans="1:24" ht="16.5" customHeight="1" thickBot="1">
      <c r="A18" s="2">
        <v>17</v>
      </c>
      <c r="B18" s="23" t="s">
        <v>485</v>
      </c>
      <c r="C18" s="23" t="s">
        <v>486</v>
      </c>
      <c r="D18" s="23" t="str">
        <f t="shared" si="0"/>
        <v>[0,3040,8,15,9,9]</v>
      </c>
      <c r="E18" s="16"/>
      <c r="F18" s="38" t="s">
        <v>122</v>
      </c>
      <c r="G18" s="39" t="s">
        <v>487</v>
      </c>
      <c r="H18" s="39">
        <v>3040</v>
      </c>
      <c r="I18" s="39" t="s">
        <v>488</v>
      </c>
      <c r="J18" s="39">
        <v>8</v>
      </c>
      <c r="K18" s="39" t="s">
        <v>489</v>
      </c>
      <c r="L18" s="39">
        <v>15</v>
      </c>
      <c r="M18" s="39" t="s">
        <v>484</v>
      </c>
      <c r="N18" s="39">
        <v>9</v>
      </c>
      <c r="O18" s="39" t="s">
        <v>478</v>
      </c>
      <c r="P18" s="39">
        <v>9</v>
      </c>
      <c r="Q18" s="39">
        <v>20</v>
      </c>
      <c r="R18" s="39">
        <v>40</v>
      </c>
      <c r="S18" s="39">
        <v>70</v>
      </c>
      <c r="T18" s="39">
        <v>100</v>
      </c>
      <c r="U18" s="39">
        <v>130</v>
      </c>
      <c r="V18" s="39">
        <v>150</v>
      </c>
      <c r="W18" s="2"/>
      <c r="X18" s="2"/>
    </row>
    <row r="19" spans="1:24" ht="16.5" customHeight="1" thickBot="1">
      <c r="A19" s="2">
        <v>18</v>
      </c>
      <c r="B19" s="23" t="s">
        <v>485</v>
      </c>
      <c r="C19" s="23" t="s">
        <v>486</v>
      </c>
      <c r="D19" s="23" t="str">
        <f t="shared" si="0"/>
        <v>[0,1056,8,15,9,9]</v>
      </c>
      <c r="E19" s="16"/>
      <c r="F19" s="38" t="s">
        <v>122</v>
      </c>
      <c r="G19" s="39" t="s">
        <v>487</v>
      </c>
      <c r="H19" s="39">
        <v>1056</v>
      </c>
      <c r="I19" s="39" t="s">
        <v>488</v>
      </c>
      <c r="J19" s="39">
        <v>8</v>
      </c>
      <c r="K19" s="39" t="s">
        <v>489</v>
      </c>
      <c r="L19" s="39">
        <v>15</v>
      </c>
      <c r="M19" s="39" t="s">
        <v>484</v>
      </c>
      <c r="N19" s="39">
        <v>9</v>
      </c>
      <c r="O19" s="39" t="s">
        <v>478</v>
      </c>
      <c r="P19" s="39">
        <v>9</v>
      </c>
      <c r="Q19" s="39">
        <v>20</v>
      </c>
      <c r="R19" s="39">
        <v>40</v>
      </c>
      <c r="S19" s="39">
        <v>70</v>
      </c>
      <c r="T19" s="39">
        <v>100</v>
      </c>
      <c r="U19" s="39">
        <v>130</v>
      </c>
      <c r="V19" s="39">
        <v>150</v>
      </c>
      <c r="W19" s="2"/>
      <c r="X19" s="2"/>
    </row>
    <row r="20" spans="1:24" ht="16.5" customHeight="1" thickBot="1">
      <c r="A20" s="2">
        <v>19</v>
      </c>
      <c r="B20" s="23" t="s">
        <v>485</v>
      </c>
      <c r="C20" s="23" t="s">
        <v>486</v>
      </c>
      <c r="D20" s="23" t="str">
        <f t="shared" si="0"/>
        <v>[0,57,8,15,9,9]</v>
      </c>
      <c r="F20" s="38" t="s">
        <v>122</v>
      </c>
      <c r="G20" s="39" t="s">
        <v>487</v>
      </c>
      <c r="H20" s="39">
        <v>57</v>
      </c>
      <c r="I20" s="39" t="s">
        <v>488</v>
      </c>
      <c r="J20" s="39">
        <v>8</v>
      </c>
      <c r="K20" s="39" t="s">
        <v>489</v>
      </c>
      <c r="L20" s="39">
        <v>15</v>
      </c>
      <c r="M20" s="39" t="s">
        <v>484</v>
      </c>
      <c r="N20" s="39">
        <v>9</v>
      </c>
      <c r="O20" s="39" t="s">
        <v>478</v>
      </c>
      <c r="P20" s="39">
        <v>9</v>
      </c>
      <c r="Q20" s="39">
        <v>20</v>
      </c>
      <c r="R20" s="39">
        <v>40</v>
      </c>
      <c r="S20" s="39">
        <v>70</v>
      </c>
      <c r="T20" s="39">
        <v>100</v>
      </c>
      <c r="U20" s="39">
        <v>130</v>
      </c>
      <c r="V20" s="39">
        <v>150</v>
      </c>
    </row>
    <row r="21" spans="1:24" ht="16.5" customHeight="1" thickBot="1">
      <c r="A21" s="2">
        <v>20</v>
      </c>
      <c r="B21" s="23" t="s">
        <v>485</v>
      </c>
      <c r="C21" s="23" t="s">
        <v>486</v>
      </c>
      <c r="D21" s="23" t="str">
        <f t="shared" si="0"/>
        <v>[0,1143,8,15,9,9]</v>
      </c>
      <c r="F21" s="38" t="s">
        <v>122</v>
      </c>
      <c r="G21" s="39" t="s">
        <v>487</v>
      </c>
      <c r="H21" s="39">
        <v>1143</v>
      </c>
      <c r="I21" s="39" t="s">
        <v>488</v>
      </c>
      <c r="J21" s="39">
        <v>8</v>
      </c>
      <c r="K21" s="39" t="s">
        <v>489</v>
      </c>
      <c r="L21" s="39">
        <v>15</v>
      </c>
      <c r="M21" s="39" t="s">
        <v>484</v>
      </c>
      <c r="N21" s="39">
        <v>9</v>
      </c>
      <c r="O21" s="39" t="s">
        <v>478</v>
      </c>
      <c r="P21" s="39">
        <v>9</v>
      </c>
      <c r="Q21" s="39">
        <v>20</v>
      </c>
      <c r="R21" s="39">
        <v>40</v>
      </c>
      <c r="S21" s="39">
        <v>70</v>
      </c>
      <c r="T21" s="39">
        <v>100</v>
      </c>
      <c r="U21" s="39">
        <v>130</v>
      </c>
      <c r="V21" s="39">
        <v>150</v>
      </c>
      <c r="W21" s="2"/>
    </row>
    <row r="22" spans="1:24" ht="16.5" customHeight="1" thickBot="1">
      <c r="A22" s="2">
        <v>21</v>
      </c>
      <c r="B22" s="23" t="s">
        <v>485</v>
      </c>
      <c r="C22" s="23" t="s">
        <v>486</v>
      </c>
      <c r="D22" s="23" t="str">
        <f t="shared" si="0"/>
        <v>[0,1280,10,20,12,12]</v>
      </c>
      <c r="F22" s="38" t="s">
        <v>142</v>
      </c>
      <c r="G22" s="39" t="s">
        <v>487</v>
      </c>
      <c r="H22" s="39">
        <v>1280</v>
      </c>
      <c r="I22" s="39" t="s">
        <v>488</v>
      </c>
      <c r="J22" s="39">
        <v>10</v>
      </c>
      <c r="K22" s="39" t="s">
        <v>489</v>
      </c>
      <c r="L22" s="39">
        <v>20</v>
      </c>
      <c r="M22" s="39" t="s">
        <v>484</v>
      </c>
      <c r="N22" s="39">
        <v>12</v>
      </c>
      <c r="O22" s="39" t="s">
        <v>478</v>
      </c>
      <c r="P22" s="39">
        <v>12</v>
      </c>
      <c r="Q22" s="39">
        <v>20</v>
      </c>
      <c r="R22" s="39">
        <v>40</v>
      </c>
      <c r="S22" s="39">
        <v>70</v>
      </c>
      <c r="T22" s="39">
        <v>100</v>
      </c>
      <c r="U22" s="39">
        <v>130</v>
      </c>
      <c r="V22" s="39">
        <v>150</v>
      </c>
    </row>
    <row r="23" spans="1:24" ht="16.5" customHeight="1" thickBot="1">
      <c r="A23" s="2">
        <v>22</v>
      </c>
      <c r="B23" s="23" t="s">
        <v>485</v>
      </c>
      <c r="C23" s="23" t="s">
        <v>486</v>
      </c>
      <c r="D23" s="23" t="str">
        <f t="shared" si="0"/>
        <v>[0,168,10,20,12,12]</v>
      </c>
      <c r="F23" s="38" t="s">
        <v>142</v>
      </c>
      <c r="G23" s="39" t="s">
        <v>487</v>
      </c>
      <c r="H23" s="39">
        <v>168</v>
      </c>
      <c r="I23" s="39" t="s">
        <v>488</v>
      </c>
      <c r="J23" s="39">
        <v>10</v>
      </c>
      <c r="K23" s="39" t="s">
        <v>489</v>
      </c>
      <c r="L23" s="39">
        <v>20</v>
      </c>
      <c r="M23" s="39" t="s">
        <v>484</v>
      </c>
      <c r="N23" s="39">
        <v>12</v>
      </c>
      <c r="O23" s="39" t="s">
        <v>478</v>
      </c>
      <c r="P23" s="39">
        <v>12</v>
      </c>
      <c r="Q23" s="39">
        <v>20</v>
      </c>
      <c r="R23" s="39">
        <v>40</v>
      </c>
      <c r="S23" s="39">
        <v>70</v>
      </c>
      <c r="T23" s="39">
        <v>100</v>
      </c>
      <c r="U23" s="39">
        <v>130</v>
      </c>
      <c r="V23" s="39">
        <v>150</v>
      </c>
    </row>
    <row r="24" spans="1:24" ht="16.5" customHeight="1" thickBot="1">
      <c r="A24" s="2">
        <v>23</v>
      </c>
      <c r="B24" s="23" t="s">
        <v>485</v>
      </c>
      <c r="C24" s="23" t="s">
        <v>486</v>
      </c>
      <c r="D24" s="23" t="str">
        <f t="shared" si="0"/>
        <v>[0,188,10,20,12,12]</v>
      </c>
      <c r="F24" s="38" t="s">
        <v>142</v>
      </c>
      <c r="G24" s="39" t="s">
        <v>487</v>
      </c>
      <c r="H24" s="39">
        <v>188</v>
      </c>
      <c r="I24" s="39" t="s">
        <v>488</v>
      </c>
      <c r="J24" s="39">
        <v>10</v>
      </c>
      <c r="K24" s="39" t="s">
        <v>489</v>
      </c>
      <c r="L24" s="39">
        <v>20</v>
      </c>
      <c r="M24" s="39" t="s">
        <v>484</v>
      </c>
      <c r="N24" s="39">
        <v>12</v>
      </c>
      <c r="O24" s="39" t="s">
        <v>478</v>
      </c>
      <c r="P24" s="39">
        <v>12</v>
      </c>
      <c r="Q24" s="39">
        <v>20</v>
      </c>
      <c r="R24" s="39">
        <v>40</v>
      </c>
      <c r="S24" s="39">
        <v>70</v>
      </c>
      <c r="T24" s="39">
        <v>100</v>
      </c>
      <c r="U24" s="39">
        <v>130</v>
      </c>
      <c r="V24" s="39">
        <v>150</v>
      </c>
    </row>
    <row r="25" spans="1:24" ht="16.5" customHeight="1" thickBot="1">
      <c r="A25" s="2">
        <v>24</v>
      </c>
      <c r="B25" s="23" t="s">
        <v>485</v>
      </c>
      <c r="C25" s="23" t="s">
        <v>486</v>
      </c>
      <c r="D25" s="23" t="str">
        <f t="shared" si="0"/>
        <v>[0,1040,10,20,12,12]</v>
      </c>
      <c r="F25" s="38" t="s">
        <v>142</v>
      </c>
      <c r="G25" s="39" t="s">
        <v>487</v>
      </c>
      <c r="H25" s="39">
        <v>1040</v>
      </c>
      <c r="I25" s="39" t="s">
        <v>488</v>
      </c>
      <c r="J25" s="39">
        <v>10</v>
      </c>
      <c r="K25" s="39" t="s">
        <v>489</v>
      </c>
      <c r="L25" s="39">
        <v>20</v>
      </c>
      <c r="M25" s="39" t="s">
        <v>484</v>
      </c>
      <c r="N25" s="39">
        <v>12</v>
      </c>
      <c r="O25" s="39" t="s">
        <v>478</v>
      </c>
      <c r="P25" s="39">
        <v>12</v>
      </c>
      <c r="Q25" s="39">
        <v>20</v>
      </c>
      <c r="R25" s="39">
        <v>40</v>
      </c>
      <c r="S25" s="39">
        <v>70</v>
      </c>
      <c r="T25" s="39">
        <v>100</v>
      </c>
      <c r="U25" s="39">
        <v>130</v>
      </c>
      <c r="V25" s="39">
        <v>150</v>
      </c>
    </row>
    <row r="26" spans="1:24" ht="16.5" customHeight="1" thickBot="1">
      <c r="A26" s="2">
        <v>25</v>
      </c>
      <c r="B26" s="23" t="s">
        <v>485</v>
      </c>
      <c r="C26" s="23" t="s">
        <v>486</v>
      </c>
      <c r="D26" s="23" t="str">
        <f t="shared" si="0"/>
        <v>[0,83,15,30,15,15]</v>
      </c>
      <c r="F26" s="38" t="s">
        <v>162</v>
      </c>
      <c r="G26" s="39" t="s">
        <v>487</v>
      </c>
      <c r="H26" s="39">
        <v>83</v>
      </c>
      <c r="I26" s="39" t="s">
        <v>488</v>
      </c>
      <c r="J26" s="39">
        <v>15</v>
      </c>
      <c r="K26" s="39" t="s">
        <v>489</v>
      </c>
      <c r="L26" s="39">
        <v>30</v>
      </c>
      <c r="M26" s="39" t="s">
        <v>484</v>
      </c>
      <c r="N26" s="39">
        <v>15</v>
      </c>
      <c r="O26" s="39" t="s">
        <v>478</v>
      </c>
      <c r="P26" s="39">
        <v>15</v>
      </c>
      <c r="Q26" s="39">
        <v>20</v>
      </c>
      <c r="R26" s="39">
        <v>40</v>
      </c>
      <c r="S26" s="39">
        <v>70</v>
      </c>
      <c r="T26" s="39">
        <v>100</v>
      </c>
      <c r="U26" s="39">
        <v>130</v>
      </c>
      <c r="V26" s="39">
        <v>150</v>
      </c>
    </row>
    <row r="27" spans="1:24" ht="16.5" customHeight="1" thickBot="1">
      <c r="A27" s="2">
        <v>26</v>
      </c>
      <c r="B27" s="23" t="s">
        <v>485</v>
      </c>
      <c r="C27" s="23" t="s">
        <v>486</v>
      </c>
      <c r="D27" s="23" t="str">
        <f t="shared" si="0"/>
        <v>[0,1824,15,30,15,15]</v>
      </c>
      <c r="F27" s="38" t="s">
        <v>162</v>
      </c>
      <c r="G27" s="39" t="s">
        <v>487</v>
      </c>
      <c r="H27" s="39">
        <v>1824</v>
      </c>
      <c r="I27" s="39" t="s">
        <v>488</v>
      </c>
      <c r="J27" s="39">
        <v>15</v>
      </c>
      <c r="K27" s="39" t="s">
        <v>489</v>
      </c>
      <c r="L27" s="39">
        <v>30</v>
      </c>
      <c r="M27" s="39" t="s">
        <v>484</v>
      </c>
      <c r="N27" s="39">
        <v>15</v>
      </c>
      <c r="O27" s="39" t="s">
        <v>478</v>
      </c>
      <c r="P27" s="39">
        <v>15</v>
      </c>
      <c r="Q27" s="39">
        <v>20</v>
      </c>
      <c r="R27" s="39">
        <v>40</v>
      </c>
      <c r="S27" s="39">
        <v>70</v>
      </c>
      <c r="T27" s="39">
        <v>100</v>
      </c>
      <c r="U27" s="39">
        <v>130</v>
      </c>
      <c r="V27" s="39">
        <v>150</v>
      </c>
    </row>
    <row r="28" spans="1:24" ht="16.5" customHeight="1" thickBot="1">
      <c r="A28" s="2">
        <v>27</v>
      </c>
      <c r="B28" s="23" t="s">
        <v>485</v>
      </c>
      <c r="C28" s="23" t="s">
        <v>486</v>
      </c>
      <c r="D28" s="23" t="str">
        <f t="shared" si="0"/>
        <v>[0,83,15,30,15,15]</v>
      </c>
      <c r="F28" s="38" t="s">
        <v>162</v>
      </c>
      <c r="G28" s="39" t="s">
        <v>487</v>
      </c>
      <c r="H28" s="39">
        <v>83</v>
      </c>
      <c r="I28" s="39" t="s">
        <v>488</v>
      </c>
      <c r="J28" s="39">
        <v>15</v>
      </c>
      <c r="K28" s="39" t="s">
        <v>489</v>
      </c>
      <c r="L28" s="39">
        <v>30</v>
      </c>
      <c r="M28" s="39" t="s">
        <v>484</v>
      </c>
      <c r="N28" s="39">
        <v>15</v>
      </c>
      <c r="O28" s="39" t="s">
        <v>478</v>
      </c>
      <c r="P28" s="39">
        <v>15</v>
      </c>
      <c r="Q28" s="39">
        <v>20</v>
      </c>
      <c r="R28" s="39">
        <v>40</v>
      </c>
      <c r="S28" s="39">
        <v>70</v>
      </c>
      <c r="T28" s="39">
        <v>100</v>
      </c>
      <c r="U28" s="39">
        <v>130</v>
      </c>
      <c r="V28" s="39">
        <v>150</v>
      </c>
    </row>
    <row r="29" spans="1:24" ht="16.5" customHeight="1" thickBot="1">
      <c r="A29" s="2">
        <v>28</v>
      </c>
      <c r="B29" s="23" t="s">
        <v>485</v>
      </c>
      <c r="C29" s="23" t="s">
        <v>486</v>
      </c>
      <c r="D29" s="23" t="str">
        <f t="shared" si="0"/>
        <v>[0,179,15,30,15,15]</v>
      </c>
      <c r="F29" s="38" t="s">
        <v>162</v>
      </c>
      <c r="G29" s="39" t="s">
        <v>487</v>
      </c>
      <c r="H29" s="39">
        <v>179</v>
      </c>
      <c r="I29" s="39" t="s">
        <v>488</v>
      </c>
      <c r="J29" s="39">
        <v>15</v>
      </c>
      <c r="K29" s="39" t="s">
        <v>489</v>
      </c>
      <c r="L29" s="39">
        <v>30</v>
      </c>
      <c r="M29" s="39" t="s">
        <v>484</v>
      </c>
      <c r="N29" s="39">
        <v>15</v>
      </c>
      <c r="O29" s="39" t="s">
        <v>478</v>
      </c>
      <c r="P29" s="39">
        <v>15</v>
      </c>
      <c r="Q29" s="39">
        <v>20</v>
      </c>
      <c r="R29" s="39">
        <v>40</v>
      </c>
      <c r="S29" s="39">
        <v>70</v>
      </c>
      <c r="T29" s="39">
        <v>100</v>
      </c>
      <c r="U29" s="39">
        <v>130</v>
      </c>
      <c r="V29" s="39">
        <v>150</v>
      </c>
    </row>
    <row r="30" spans="1:24" ht="16.5" customHeight="1">
      <c r="C30" s="3"/>
      <c r="D30" s="23"/>
      <c r="L30" s="16"/>
    </row>
    <row r="31" spans="1:24" ht="16.5" customHeight="1">
      <c r="C31" s="3"/>
      <c r="D31" s="23"/>
      <c r="L31" s="16"/>
    </row>
    <row r="32" spans="1:24" ht="16.5" customHeight="1">
      <c r="C32" s="3"/>
      <c r="D32" s="23"/>
      <c r="L32" s="16"/>
    </row>
    <row r="33" spans="3:12" ht="16.5" customHeight="1">
      <c r="C33" s="3"/>
      <c r="D33" s="23"/>
      <c r="L33" s="16"/>
    </row>
    <row r="34" spans="3:12" ht="16.5" customHeight="1">
      <c r="L34" s="16"/>
    </row>
    <row r="35" spans="3:12" ht="16.5" customHeight="1">
      <c r="L35" s="16"/>
    </row>
    <row r="36" spans="3:12" ht="16.5" customHeight="1">
      <c r="L36" s="16"/>
    </row>
    <row r="37" spans="3:12" ht="16.5" customHeight="1">
      <c r="L37" s="16"/>
    </row>
    <row r="38" spans="3:12" ht="16.5" customHeight="1">
      <c r="L38" s="16"/>
    </row>
    <row r="39" spans="3:12" ht="16.5" customHeight="1">
      <c r="L39" s="16"/>
    </row>
    <row r="40" spans="3:12" ht="16.5" customHeight="1">
      <c r="L40" s="16"/>
    </row>
    <row r="41" spans="3:12" ht="16.5" customHeight="1">
      <c r="L41" s="16"/>
    </row>
    <row r="42" spans="3:12" ht="16.5" customHeight="1">
      <c r="L42" s="16"/>
    </row>
    <row r="43" spans="3:12" ht="16.5" customHeight="1">
      <c r="L43" s="16"/>
    </row>
    <row r="44" spans="3:12" ht="16.5" customHeight="1">
      <c r="L44" s="16"/>
    </row>
    <row r="45" spans="3:12" ht="16.5" customHeight="1">
      <c r="L45" s="16"/>
    </row>
  </sheetData>
  <phoneticPr fontId="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151"/>
  <sheetViews>
    <sheetView workbookViewId="0">
      <selection activeCell="B2" sqref="B2"/>
    </sheetView>
  </sheetViews>
  <sheetFormatPr defaultRowHeight="17.399999999999999"/>
  <cols>
    <col min="2" max="2" width="35.69921875" customWidth="1"/>
  </cols>
  <sheetData>
    <row r="1" spans="1:38" ht="17.55" customHeight="1" thickBot="1">
      <c r="A1" s="1" t="s">
        <v>0</v>
      </c>
      <c r="B1" s="1" t="s">
        <v>490</v>
      </c>
      <c r="C1" s="2"/>
      <c r="D1" s="1" t="s">
        <v>43</v>
      </c>
      <c r="E1" s="1" t="s">
        <v>47</v>
      </c>
      <c r="F1" s="1" t="s">
        <v>51</v>
      </c>
      <c r="G1" s="1" t="s">
        <v>55</v>
      </c>
      <c r="H1" s="1" t="s">
        <v>59</v>
      </c>
      <c r="I1" s="1" t="s">
        <v>63</v>
      </c>
      <c r="J1" s="1" t="s">
        <v>67</v>
      </c>
      <c r="K1" s="1" t="s">
        <v>71</v>
      </c>
      <c r="L1" s="1" t="s">
        <v>75</v>
      </c>
      <c r="M1" s="1" t="s">
        <v>79</v>
      </c>
      <c r="N1" s="1" t="s">
        <v>83</v>
      </c>
      <c r="O1" s="1" t="s">
        <v>87</v>
      </c>
      <c r="P1" s="1" t="s">
        <v>91</v>
      </c>
      <c r="Q1" s="1" t="s">
        <v>95</v>
      </c>
      <c r="R1" s="1" t="s">
        <v>99</v>
      </c>
      <c r="S1" s="1" t="s">
        <v>103</v>
      </c>
      <c r="T1" s="1" t="s">
        <v>107</v>
      </c>
      <c r="U1" s="1" t="s">
        <v>111</v>
      </c>
      <c r="V1" s="1" t="s">
        <v>115</v>
      </c>
      <c r="W1" s="1" t="s">
        <v>119</v>
      </c>
      <c r="X1" s="1" t="s">
        <v>123</v>
      </c>
      <c r="Y1" s="1" t="s">
        <v>127</v>
      </c>
      <c r="Z1" s="1" t="s">
        <v>131</v>
      </c>
      <c r="AA1" s="1" t="s">
        <v>135</v>
      </c>
      <c r="AB1" s="1" t="s">
        <v>139</v>
      </c>
      <c r="AC1" s="1" t="s">
        <v>143</v>
      </c>
      <c r="AD1" s="1" t="s">
        <v>147</v>
      </c>
      <c r="AE1" s="1" t="s">
        <v>151</v>
      </c>
      <c r="AF1" s="1" t="s">
        <v>155</v>
      </c>
      <c r="AG1" s="1" t="s">
        <v>159</v>
      </c>
      <c r="AH1" s="1" t="s">
        <v>163</v>
      </c>
      <c r="AI1" s="1" t="s">
        <v>167</v>
      </c>
      <c r="AJ1" s="1" t="s">
        <v>171</v>
      </c>
      <c r="AK1" s="1" t="s">
        <v>175</v>
      </c>
      <c r="AL1" s="1" t="s">
        <v>179</v>
      </c>
    </row>
    <row r="2" spans="1:38" ht="16.5" customHeight="1">
      <c r="A2" s="2">
        <v>1</v>
      </c>
      <c r="B2" s="23" t="str">
        <f>"[" &amp; $D2 &amp; "," &amp; $E2 &amp; "," &amp; $F2 &amp; "," &amp; $G2 &amp; "," &amp; $H2 &amp; "," &amp; $I2 &amp; "," &amp; $J2 &amp; "," &amp; $K2 &amp; "," &amp; $L2 &amp; "," &amp; $M2 &amp; "," &amp; $N2 &amp; "," &amp; $O2 &amp; "," &amp; $P2 &amp; "," &amp; $Q2 &amp; "," &amp; $R2 &amp; "," &amp; $S2 &amp; "," &amp; $T2 &amp; "," &amp; $U2 &amp; "," &amp; $V2 &amp; "," &amp; $W2 &amp; "," &amp; $X2 &amp; "," &amp; $Y2 &amp; "," &amp; $Z2 &amp; "," &amp; $AA2 &amp; "," &amp; $AB2 &amp; "," &amp; $AC2 &amp; "," &amp; $AD2 &amp; "," &amp; $AE2 &amp; "," &amp; $AF2 &amp; "," &amp; $AG2 &amp; "," &amp; $AH2  &amp; "," &amp; $AI2 &amp; "," &amp; $AJ2 &amp; "," &amp; $AK2 &amp; "," &amp; $AL2 &amp; "]"</f>
        <v>[10,12,14,17,20,30,36,43,52,62,100,120,144,173,208,700,840,1008,1210,1452,1500,2100,2940,4116,5762,15000,18000,21600,25920,31104,40000,56000,78400,109760,153664]</v>
      </c>
      <c r="C2" s="2"/>
      <c r="D2" s="10">
        <v>10</v>
      </c>
      <c r="E2" s="10">
        <v>12</v>
      </c>
      <c r="F2" s="10">
        <v>14</v>
      </c>
      <c r="G2" s="10">
        <v>17</v>
      </c>
      <c r="H2" s="10">
        <v>20</v>
      </c>
      <c r="I2" s="10">
        <v>30</v>
      </c>
      <c r="J2" s="10">
        <v>36</v>
      </c>
      <c r="K2" s="10">
        <v>43</v>
      </c>
      <c r="L2" s="10">
        <v>52</v>
      </c>
      <c r="M2" s="10">
        <v>62</v>
      </c>
      <c r="N2" s="10">
        <v>100</v>
      </c>
      <c r="O2" s="10">
        <v>120</v>
      </c>
      <c r="P2" s="10">
        <v>144</v>
      </c>
      <c r="Q2" s="10">
        <v>173</v>
      </c>
      <c r="R2" s="10">
        <v>208</v>
      </c>
      <c r="S2" s="10">
        <v>700</v>
      </c>
      <c r="T2" s="10">
        <v>840</v>
      </c>
      <c r="U2" s="10">
        <v>1008</v>
      </c>
      <c r="V2" s="10">
        <v>1210</v>
      </c>
      <c r="W2" s="10">
        <v>1452</v>
      </c>
      <c r="X2" s="10">
        <v>1500</v>
      </c>
      <c r="Y2" s="10">
        <v>2100</v>
      </c>
      <c r="Z2" s="10">
        <v>2940</v>
      </c>
      <c r="AA2" s="10">
        <v>4116</v>
      </c>
      <c r="AB2" s="10">
        <v>5762</v>
      </c>
      <c r="AC2" s="10">
        <v>15000</v>
      </c>
      <c r="AD2" s="10">
        <v>18000</v>
      </c>
      <c r="AE2" s="10">
        <v>21600</v>
      </c>
      <c r="AF2" s="10">
        <v>25920</v>
      </c>
      <c r="AG2" s="10">
        <v>31104</v>
      </c>
      <c r="AH2" s="10">
        <v>40000</v>
      </c>
      <c r="AI2" s="10">
        <v>56000</v>
      </c>
      <c r="AJ2" s="10">
        <v>78400</v>
      </c>
      <c r="AK2" s="10">
        <v>109760</v>
      </c>
      <c r="AL2" s="10">
        <v>153664</v>
      </c>
    </row>
    <row r="3" spans="1:38" ht="16.5" customHeight="1">
      <c r="A3" s="2">
        <v>2</v>
      </c>
      <c r="B3" s="23" t="str">
        <f>"[" &amp; $D3 &amp; "," &amp; $E3 &amp; "," &amp; $F3 &amp; "," &amp; $G3 &amp; "," &amp; $H3 &amp; "," &amp; $I3 &amp; "," &amp; $J3 &amp; "," &amp; $K3 &amp; "," &amp; $L3 &amp; "," &amp; $M3 &amp; "," &amp; $N3 &amp; "," &amp; $O3 &amp; "," &amp; $P3 &amp; "," &amp; $Q3 &amp; "," &amp; $R3 &amp; "," &amp; $S3 &amp; "," &amp; $T3 &amp; "," &amp; $U3 &amp; "," &amp; $V3 &amp; "," &amp; $W3 &amp; "," &amp; $X3 &amp; "," &amp; $Y3 &amp; "," &amp; $Z3 &amp; "," &amp; $AA3 &amp; "," &amp; $AB3 &amp; "," &amp; $AC3 &amp; "," &amp; $AD3 &amp; "," &amp; $AE3 &amp; "," &amp; $AF3 &amp; "," &amp; $AG3 &amp; "," &amp; $AH3  &amp; "," &amp; $AI3 &amp; "," &amp; $AJ3 &amp; "," &amp; $AK3 &amp; "," &amp; $AL3 &amp; "]"</f>
        <v>[13,16,18,22,26,40,48,57,69,82,132,158,190,228,275,952,1142,1371,1646,1975,2040,2856,3998,5598,7836,21750,26100,31320,37584,45101,58000,81200,113680,159152,222813]</v>
      </c>
      <c r="C3" s="2"/>
      <c r="D3" s="10">
        <v>13</v>
      </c>
      <c r="E3" s="10">
        <v>16</v>
      </c>
      <c r="F3" s="10">
        <v>18</v>
      </c>
      <c r="G3" s="10">
        <v>22</v>
      </c>
      <c r="H3" s="10">
        <v>26</v>
      </c>
      <c r="I3" s="10">
        <v>40</v>
      </c>
      <c r="J3" s="10">
        <v>48</v>
      </c>
      <c r="K3" s="10">
        <v>57</v>
      </c>
      <c r="L3" s="10">
        <v>69</v>
      </c>
      <c r="M3" s="10">
        <v>82</v>
      </c>
      <c r="N3" s="10">
        <v>132</v>
      </c>
      <c r="O3" s="10">
        <v>158</v>
      </c>
      <c r="P3" s="10">
        <v>190</v>
      </c>
      <c r="Q3" s="10">
        <v>228</v>
      </c>
      <c r="R3" s="10">
        <v>275</v>
      </c>
      <c r="S3" s="10">
        <v>952</v>
      </c>
      <c r="T3" s="10">
        <v>1142</v>
      </c>
      <c r="U3" s="10">
        <v>1371</v>
      </c>
      <c r="V3" s="10">
        <v>1646</v>
      </c>
      <c r="W3" s="10">
        <v>1975</v>
      </c>
      <c r="X3" s="10">
        <v>2040</v>
      </c>
      <c r="Y3" s="10">
        <v>2856</v>
      </c>
      <c r="Z3" s="10">
        <v>3998</v>
      </c>
      <c r="AA3" s="10">
        <v>5598</v>
      </c>
      <c r="AB3" s="10">
        <v>7836</v>
      </c>
      <c r="AC3" s="10">
        <v>21750</v>
      </c>
      <c r="AD3" s="10">
        <v>26100</v>
      </c>
      <c r="AE3" s="10">
        <v>31320</v>
      </c>
      <c r="AF3" s="10">
        <v>37584</v>
      </c>
      <c r="AG3" s="10">
        <v>45101</v>
      </c>
      <c r="AH3" s="10">
        <v>58000</v>
      </c>
      <c r="AI3" s="10">
        <v>81200</v>
      </c>
      <c r="AJ3" s="10">
        <v>113680</v>
      </c>
      <c r="AK3" s="10">
        <v>159152</v>
      </c>
      <c r="AL3" s="10">
        <v>222813</v>
      </c>
    </row>
    <row r="4" spans="1:38" ht="16.5" customHeight="1">
      <c r="A4" s="2">
        <v>3</v>
      </c>
      <c r="B4" s="23" t="str">
        <f t="shared" ref="B4:B35" si="0">"[" &amp; $D4 &amp; "," &amp; $E4 &amp; "," &amp; $F4 &amp; "," &amp; $G4 &amp; "," &amp; $H4 &amp; "," &amp; $I4 &amp; "," &amp; $J4 &amp; "," &amp; $K4 &amp; "," &amp; $L4 &amp; "," &amp; $M4 &amp; "," &amp; $N4 &amp; "," &amp; $O4 &amp; "," &amp; $P4 &amp; "," &amp; $Q4 &amp; "," &amp; $R4 &amp; "," &amp; $S4 &amp; "," &amp; $T4 &amp; "," &amp; $U4 &amp; "," &amp; $V4 &amp; "," &amp; $W4 &amp; "," &amp; $X4 &amp; "," &amp; $Y4 &amp; "," &amp; $Z4 &amp; "," &amp; $AA4 &amp; "," &amp; $AB4 &amp; "," &amp; $AC4 &amp; "," &amp; $AD4 &amp; "," &amp; $AE4 &amp; "," &amp; $AF4 &amp; "," &amp; $AG4 &amp; "," &amp; $AH4 &amp; "," &amp; $AI4 &amp; "," &amp; $AJ4 &amp; "," &amp; $AK4 &amp; "," &amp; $AL4 &amp; "]"</f>
        <v>[17,21,23,29,34,53,63,75,91,108,174,209,251,301,363,1295,1553,1865,2239,2686,2774,3884,5437,7613,10657,31538,37845,45414,54497,65396,84100,117740,164836,230770,323079]</v>
      </c>
      <c r="C4" s="2"/>
      <c r="D4" s="10">
        <v>17</v>
      </c>
      <c r="E4" s="10">
        <v>21</v>
      </c>
      <c r="F4" s="10">
        <v>23</v>
      </c>
      <c r="G4" s="10">
        <v>29</v>
      </c>
      <c r="H4" s="10">
        <v>34</v>
      </c>
      <c r="I4" s="10">
        <v>53</v>
      </c>
      <c r="J4" s="10">
        <v>63</v>
      </c>
      <c r="K4" s="10">
        <v>75</v>
      </c>
      <c r="L4" s="10">
        <v>91</v>
      </c>
      <c r="M4" s="10">
        <v>108</v>
      </c>
      <c r="N4" s="10">
        <v>174</v>
      </c>
      <c r="O4" s="10">
        <v>209</v>
      </c>
      <c r="P4" s="10">
        <v>251</v>
      </c>
      <c r="Q4" s="10">
        <v>301</v>
      </c>
      <c r="R4" s="10">
        <v>363</v>
      </c>
      <c r="S4" s="10">
        <v>1295</v>
      </c>
      <c r="T4" s="10">
        <v>1553</v>
      </c>
      <c r="U4" s="10">
        <v>1865</v>
      </c>
      <c r="V4" s="10">
        <v>2239</v>
      </c>
      <c r="W4" s="10">
        <v>2686</v>
      </c>
      <c r="X4" s="10">
        <v>2774</v>
      </c>
      <c r="Y4" s="10">
        <v>3884</v>
      </c>
      <c r="Z4" s="10">
        <v>5437</v>
      </c>
      <c r="AA4" s="10">
        <v>7613</v>
      </c>
      <c r="AB4" s="10">
        <v>10657</v>
      </c>
      <c r="AC4" s="10">
        <v>31538</v>
      </c>
      <c r="AD4" s="10">
        <v>37845</v>
      </c>
      <c r="AE4" s="10">
        <v>45414</v>
      </c>
      <c r="AF4" s="10">
        <v>54497</v>
      </c>
      <c r="AG4" s="10">
        <v>65396</v>
      </c>
      <c r="AH4" s="10">
        <v>84100</v>
      </c>
      <c r="AI4" s="10">
        <v>117740</v>
      </c>
      <c r="AJ4" s="10">
        <v>164836</v>
      </c>
      <c r="AK4" s="10">
        <v>230770</v>
      </c>
      <c r="AL4" s="10">
        <v>323079</v>
      </c>
    </row>
    <row r="5" spans="1:38" ht="16.5" customHeight="1">
      <c r="A5" s="2">
        <v>4</v>
      </c>
      <c r="B5" s="23" t="str">
        <f t="shared" si="0"/>
        <v>[22,27,30,38,44,70,83,99,120,143,230,276,331,397,479,1761,2112,2536,3045,3653,3773,5282,7394,10354,14494,45730,54875,65850,79021,94824,121945,170723,239012,334617,468465]</v>
      </c>
      <c r="C5" s="2"/>
      <c r="D5" s="10">
        <v>22</v>
      </c>
      <c r="E5" s="10">
        <v>27</v>
      </c>
      <c r="F5" s="10">
        <v>30</v>
      </c>
      <c r="G5" s="10">
        <v>38</v>
      </c>
      <c r="H5" s="10">
        <v>44</v>
      </c>
      <c r="I5" s="10">
        <v>70</v>
      </c>
      <c r="J5" s="10">
        <v>83</v>
      </c>
      <c r="K5" s="10">
        <v>99</v>
      </c>
      <c r="L5" s="10">
        <v>120</v>
      </c>
      <c r="M5" s="10">
        <v>143</v>
      </c>
      <c r="N5" s="10">
        <v>230</v>
      </c>
      <c r="O5" s="10">
        <v>276</v>
      </c>
      <c r="P5" s="10">
        <v>331</v>
      </c>
      <c r="Q5" s="10">
        <v>397</v>
      </c>
      <c r="R5" s="10">
        <v>479</v>
      </c>
      <c r="S5" s="10">
        <v>1761</v>
      </c>
      <c r="T5" s="10">
        <v>2112</v>
      </c>
      <c r="U5" s="10">
        <v>2536</v>
      </c>
      <c r="V5" s="10">
        <v>3045</v>
      </c>
      <c r="W5" s="10">
        <v>3653</v>
      </c>
      <c r="X5" s="10">
        <v>3773</v>
      </c>
      <c r="Y5" s="10">
        <v>5282</v>
      </c>
      <c r="Z5" s="10">
        <v>7394</v>
      </c>
      <c r="AA5" s="10">
        <v>10354</v>
      </c>
      <c r="AB5" s="10">
        <v>14494</v>
      </c>
      <c r="AC5" s="10">
        <v>45730</v>
      </c>
      <c r="AD5" s="10">
        <v>54875</v>
      </c>
      <c r="AE5" s="10">
        <v>65850</v>
      </c>
      <c r="AF5" s="10">
        <v>79021</v>
      </c>
      <c r="AG5" s="10">
        <v>94824</v>
      </c>
      <c r="AH5" s="10">
        <v>121945</v>
      </c>
      <c r="AI5" s="10">
        <v>170723</v>
      </c>
      <c r="AJ5" s="10">
        <v>239012</v>
      </c>
      <c r="AK5" s="10">
        <v>334617</v>
      </c>
      <c r="AL5" s="10">
        <v>468465</v>
      </c>
    </row>
    <row r="6" spans="1:38" ht="16.5" customHeight="1">
      <c r="A6" s="2">
        <v>5</v>
      </c>
      <c r="B6" s="23" t="str">
        <f t="shared" si="0"/>
        <v>[29,35,39,49,57,92,110,131,158,189,304,364,437,524,632,2395,2872,3449,4141,4968,5131,7184,10056,14081,19712,66309,79569,95483,114580,137495,176820,247548,346567,485195,679274]</v>
      </c>
      <c r="C6" s="2"/>
      <c r="D6" s="10">
        <v>29</v>
      </c>
      <c r="E6" s="10">
        <v>35</v>
      </c>
      <c r="F6" s="10">
        <v>39</v>
      </c>
      <c r="G6" s="10">
        <v>49</v>
      </c>
      <c r="H6" s="10">
        <v>57</v>
      </c>
      <c r="I6" s="10">
        <v>92</v>
      </c>
      <c r="J6" s="10">
        <v>110</v>
      </c>
      <c r="K6" s="10">
        <v>131</v>
      </c>
      <c r="L6" s="10">
        <v>158</v>
      </c>
      <c r="M6" s="10">
        <v>189</v>
      </c>
      <c r="N6" s="10">
        <v>304</v>
      </c>
      <c r="O6" s="10">
        <v>364</v>
      </c>
      <c r="P6" s="10">
        <v>437</v>
      </c>
      <c r="Q6" s="10">
        <v>524</v>
      </c>
      <c r="R6" s="10">
        <v>632</v>
      </c>
      <c r="S6" s="10">
        <v>2395</v>
      </c>
      <c r="T6" s="10">
        <v>2872</v>
      </c>
      <c r="U6" s="10">
        <v>3449</v>
      </c>
      <c r="V6" s="10">
        <v>4141</v>
      </c>
      <c r="W6" s="10">
        <v>4968</v>
      </c>
      <c r="X6" s="10">
        <v>5131</v>
      </c>
      <c r="Y6" s="10">
        <v>7184</v>
      </c>
      <c r="Z6" s="10">
        <v>10056</v>
      </c>
      <c r="AA6" s="10">
        <v>14081</v>
      </c>
      <c r="AB6" s="10">
        <v>19712</v>
      </c>
      <c r="AC6" s="10">
        <v>66309</v>
      </c>
      <c r="AD6" s="10">
        <v>79569</v>
      </c>
      <c r="AE6" s="10">
        <v>95483</v>
      </c>
      <c r="AF6" s="10">
        <v>114580</v>
      </c>
      <c r="AG6" s="10">
        <v>137495</v>
      </c>
      <c r="AH6" s="10">
        <v>176820</v>
      </c>
      <c r="AI6" s="10">
        <v>247548</v>
      </c>
      <c r="AJ6" s="10">
        <v>346567</v>
      </c>
      <c r="AK6" s="10">
        <v>485195</v>
      </c>
      <c r="AL6" s="10">
        <v>679274</v>
      </c>
    </row>
    <row r="7" spans="1:38" ht="16.5" customHeight="1">
      <c r="A7" s="2">
        <v>6</v>
      </c>
      <c r="B7" s="23" t="str">
        <f t="shared" si="0"/>
        <v>[38,46,51,64,74,121,145,173,209,249,401,480,577,692,834,3257,3906,4691,5632,6756,6978,9770,13676,19150,26808,96148,115375,138450,166141,199368,256389,358945,502522,703533,984947]</v>
      </c>
      <c r="C7" s="2"/>
      <c r="D7" s="10">
        <v>38</v>
      </c>
      <c r="E7" s="10">
        <v>46</v>
      </c>
      <c r="F7" s="10">
        <v>51</v>
      </c>
      <c r="G7" s="10">
        <v>64</v>
      </c>
      <c r="H7" s="10">
        <v>74</v>
      </c>
      <c r="I7" s="10">
        <v>121</v>
      </c>
      <c r="J7" s="10">
        <v>145</v>
      </c>
      <c r="K7" s="10">
        <v>173</v>
      </c>
      <c r="L7" s="10">
        <v>209</v>
      </c>
      <c r="M7" s="10">
        <v>249</v>
      </c>
      <c r="N7" s="10">
        <v>401</v>
      </c>
      <c r="O7" s="10">
        <v>480</v>
      </c>
      <c r="P7" s="10">
        <v>577</v>
      </c>
      <c r="Q7" s="10">
        <v>692</v>
      </c>
      <c r="R7" s="10">
        <v>834</v>
      </c>
      <c r="S7" s="10">
        <v>3257</v>
      </c>
      <c r="T7" s="10">
        <v>3906</v>
      </c>
      <c r="U7" s="10">
        <v>4691</v>
      </c>
      <c r="V7" s="10">
        <v>5632</v>
      </c>
      <c r="W7" s="10">
        <v>6756</v>
      </c>
      <c r="X7" s="10">
        <v>6978</v>
      </c>
      <c r="Y7" s="10">
        <v>9770</v>
      </c>
      <c r="Z7" s="10">
        <v>13676</v>
      </c>
      <c r="AA7" s="10">
        <v>19150</v>
      </c>
      <c r="AB7" s="10">
        <v>26808</v>
      </c>
      <c r="AC7" s="10">
        <v>96148</v>
      </c>
      <c r="AD7" s="10">
        <v>115375</v>
      </c>
      <c r="AE7" s="10">
        <v>138450</v>
      </c>
      <c r="AF7" s="10">
        <v>166141</v>
      </c>
      <c r="AG7" s="10">
        <v>199368</v>
      </c>
      <c r="AH7" s="10">
        <v>256389</v>
      </c>
      <c r="AI7" s="10">
        <v>358945</v>
      </c>
      <c r="AJ7" s="10">
        <v>502522</v>
      </c>
      <c r="AK7" s="10">
        <v>703533</v>
      </c>
      <c r="AL7" s="10">
        <v>984947</v>
      </c>
    </row>
    <row r="8" spans="1:38" ht="16.5" customHeight="1">
      <c r="A8" s="2">
        <v>7</v>
      </c>
      <c r="B8" s="23" t="str">
        <f t="shared" si="0"/>
        <v>[49,60,66,83,96,160,191,228,276,329,529,634,762,913,1101,4430,5312,6380,7660,9188,9490,13287,18599,26044,36459,139415,167294,200753,240904,289084,371764,520470,728657,1020123,1428173]</v>
      </c>
      <c r="C8" s="2"/>
      <c r="D8" s="10">
        <v>49</v>
      </c>
      <c r="E8" s="10">
        <v>60</v>
      </c>
      <c r="F8" s="10">
        <v>66</v>
      </c>
      <c r="G8" s="10">
        <v>83</v>
      </c>
      <c r="H8" s="10">
        <v>96</v>
      </c>
      <c r="I8" s="10">
        <v>160</v>
      </c>
      <c r="J8" s="10">
        <v>191</v>
      </c>
      <c r="K8" s="10">
        <v>228</v>
      </c>
      <c r="L8" s="10">
        <v>276</v>
      </c>
      <c r="M8" s="10">
        <v>329</v>
      </c>
      <c r="N8" s="10">
        <v>529</v>
      </c>
      <c r="O8" s="10">
        <v>634</v>
      </c>
      <c r="P8" s="10">
        <v>762</v>
      </c>
      <c r="Q8" s="10">
        <v>913</v>
      </c>
      <c r="R8" s="10">
        <v>1101</v>
      </c>
      <c r="S8" s="10">
        <v>4430</v>
      </c>
      <c r="T8" s="10">
        <v>5312</v>
      </c>
      <c r="U8" s="10">
        <v>6380</v>
      </c>
      <c r="V8" s="10">
        <v>7660</v>
      </c>
      <c r="W8" s="10">
        <v>9188</v>
      </c>
      <c r="X8" s="10">
        <v>9490</v>
      </c>
      <c r="Y8" s="10">
        <v>13287</v>
      </c>
      <c r="Z8" s="10">
        <v>18599</v>
      </c>
      <c r="AA8" s="10">
        <v>26044</v>
      </c>
      <c r="AB8" s="10">
        <v>36459</v>
      </c>
      <c r="AC8" s="10">
        <v>139415</v>
      </c>
      <c r="AD8" s="10">
        <v>167294</v>
      </c>
      <c r="AE8" s="10">
        <v>200753</v>
      </c>
      <c r="AF8" s="10">
        <v>240904</v>
      </c>
      <c r="AG8" s="10">
        <v>289084</v>
      </c>
      <c r="AH8" s="10">
        <v>371764</v>
      </c>
      <c r="AI8" s="10">
        <v>520470</v>
      </c>
      <c r="AJ8" s="10">
        <v>728657</v>
      </c>
      <c r="AK8" s="10">
        <v>1020123</v>
      </c>
      <c r="AL8" s="10">
        <v>1428173</v>
      </c>
    </row>
    <row r="9" spans="1:38" ht="16.5" customHeight="1">
      <c r="A9" s="2">
        <v>8</v>
      </c>
      <c r="B9" s="23" t="str">
        <f t="shared" si="0"/>
        <v>[64,78,86,108,125,211,252,301,364,434,698,837,1006,1205,1453,6025,7224,8677,10418,12496,12906,18070,25295,35420,49584,202152,242576,291092,349311,419172,539058,754682,1056553,1479178,2070851]</v>
      </c>
      <c r="C9" s="2"/>
      <c r="D9" s="10">
        <v>64</v>
      </c>
      <c r="E9" s="10">
        <v>78</v>
      </c>
      <c r="F9" s="10">
        <v>86</v>
      </c>
      <c r="G9" s="10">
        <v>108</v>
      </c>
      <c r="H9" s="10">
        <v>125</v>
      </c>
      <c r="I9" s="10">
        <v>211</v>
      </c>
      <c r="J9" s="10">
        <v>252</v>
      </c>
      <c r="K9" s="10">
        <v>301</v>
      </c>
      <c r="L9" s="10">
        <v>364</v>
      </c>
      <c r="M9" s="10">
        <v>434</v>
      </c>
      <c r="N9" s="10">
        <v>698</v>
      </c>
      <c r="O9" s="10">
        <v>837</v>
      </c>
      <c r="P9" s="10">
        <v>1006</v>
      </c>
      <c r="Q9" s="10">
        <v>1205</v>
      </c>
      <c r="R9" s="10">
        <v>1453</v>
      </c>
      <c r="S9" s="10">
        <v>6025</v>
      </c>
      <c r="T9" s="10">
        <v>7224</v>
      </c>
      <c r="U9" s="10">
        <v>8677</v>
      </c>
      <c r="V9" s="10">
        <v>10418</v>
      </c>
      <c r="W9" s="10">
        <v>12496</v>
      </c>
      <c r="X9" s="10">
        <v>12906</v>
      </c>
      <c r="Y9" s="10">
        <v>18070</v>
      </c>
      <c r="Z9" s="10">
        <v>25295</v>
      </c>
      <c r="AA9" s="10">
        <v>35420</v>
      </c>
      <c r="AB9" s="10">
        <v>49584</v>
      </c>
      <c r="AC9" s="10">
        <v>202152</v>
      </c>
      <c r="AD9" s="10">
        <v>242576</v>
      </c>
      <c r="AE9" s="10">
        <v>291092</v>
      </c>
      <c r="AF9" s="10">
        <v>349311</v>
      </c>
      <c r="AG9" s="10">
        <v>419172</v>
      </c>
      <c r="AH9" s="10">
        <v>539058</v>
      </c>
      <c r="AI9" s="10">
        <v>754682</v>
      </c>
      <c r="AJ9" s="10">
        <v>1056553</v>
      </c>
      <c r="AK9" s="10">
        <v>1479178</v>
      </c>
      <c r="AL9" s="10">
        <v>2070851</v>
      </c>
    </row>
    <row r="10" spans="1:38" ht="16.5" customHeight="1">
      <c r="A10" s="2">
        <v>9</v>
      </c>
      <c r="B10" s="23" t="str">
        <f t="shared" si="0"/>
        <v>[83,101,112,140,163,279,333,397,480,573,921,1105,1328,1591,1918,8194,9825,11801,14168,16995,17552,24575,34401,48171,67434,293120,351735,422083,506501,607799,781634,1094289,1532002,2144808,3002734]</v>
      </c>
      <c r="C10" s="2"/>
      <c r="D10" s="10">
        <v>83</v>
      </c>
      <c r="E10" s="10">
        <v>101</v>
      </c>
      <c r="F10" s="10">
        <v>112</v>
      </c>
      <c r="G10" s="10">
        <v>140</v>
      </c>
      <c r="H10" s="10">
        <v>163</v>
      </c>
      <c r="I10" s="10">
        <v>279</v>
      </c>
      <c r="J10" s="10">
        <v>333</v>
      </c>
      <c r="K10" s="10">
        <v>397</v>
      </c>
      <c r="L10" s="10">
        <v>480</v>
      </c>
      <c r="M10" s="10">
        <v>573</v>
      </c>
      <c r="N10" s="10">
        <v>921</v>
      </c>
      <c r="O10" s="10">
        <v>1105</v>
      </c>
      <c r="P10" s="10">
        <v>1328</v>
      </c>
      <c r="Q10" s="10">
        <v>1591</v>
      </c>
      <c r="R10" s="10">
        <v>1918</v>
      </c>
      <c r="S10" s="10">
        <v>8194</v>
      </c>
      <c r="T10" s="10">
        <v>9825</v>
      </c>
      <c r="U10" s="10">
        <v>11801</v>
      </c>
      <c r="V10" s="10">
        <v>14168</v>
      </c>
      <c r="W10" s="10">
        <v>16995</v>
      </c>
      <c r="X10" s="10">
        <v>17552</v>
      </c>
      <c r="Y10" s="10">
        <v>24575</v>
      </c>
      <c r="Z10" s="10">
        <v>34401</v>
      </c>
      <c r="AA10" s="10">
        <v>48171</v>
      </c>
      <c r="AB10" s="10">
        <v>67434</v>
      </c>
      <c r="AC10" s="10">
        <v>293120</v>
      </c>
      <c r="AD10" s="10">
        <v>351735</v>
      </c>
      <c r="AE10" s="10">
        <v>422083</v>
      </c>
      <c r="AF10" s="10">
        <v>506501</v>
      </c>
      <c r="AG10" s="10">
        <v>607799</v>
      </c>
      <c r="AH10" s="10">
        <v>781634</v>
      </c>
      <c r="AI10" s="10">
        <v>1094289</v>
      </c>
      <c r="AJ10" s="10">
        <v>1532002</v>
      </c>
      <c r="AK10" s="10">
        <v>2144808</v>
      </c>
      <c r="AL10" s="10">
        <v>3002734</v>
      </c>
    </row>
    <row r="11" spans="1:38" ht="16.5" customHeight="1">
      <c r="A11" s="2">
        <v>10</v>
      </c>
      <c r="B11" s="23" t="str">
        <f t="shared" si="0"/>
        <v>[108,131,146,182,212,368,440,524,634,756,1216,1459,1753,2100,2532,11144,13362,16049,19268,23113,23871,33422,46785,65513,91710,425024,510016,612020,734426,881309,1133369,1586719,2221403,3109972,4353964]</v>
      </c>
      <c r="C11" s="2"/>
      <c r="D11" s="10">
        <v>108</v>
      </c>
      <c r="E11" s="10">
        <v>131</v>
      </c>
      <c r="F11" s="10">
        <v>146</v>
      </c>
      <c r="G11" s="10">
        <v>182</v>
      </c>
      <c r="H11" s="10">
        <v>212</v>
      </c>
      <c r="I11" s="10">
        <v>368</v>
      </c>
      <c r="J11" s="10">
        <v>440</v>
      </c>
      <c r="K11" s="10">
        <v>524</v>
      </c>
      <c r="L11" s="10">
        <v>634</v>
      </c>
      <c r="M11" s="10">
        <v>756</v>
      </c>
      <c r="N11" s="10">
        <v>1216</v>
      </c>
      <c r="O11" s="10">
        <v>1459</v>
      </c>
      <c r="P11" s="10">
        <v>1753</v>
      </c>
      <c r="Q11" s="10">
        <v>2100</v>
      </c>
      <c r="R11" s="10">
        <v>2532</v>
      </c>
      <c r="S11" s="10">
        <v>11144</v>
      </c>
      <c r="T11" s="10">
        <v>13362</v>
      </c>
      <c r="U11" s="10">
        <v>16049</v>
      </c>
      <c r="V11" s="10">
        <v>19268</v>
      </c>
      <c r="W11" s="10">
        <v>23113</v>
      </c>
      <c r="X11" s="10">
        <v>23871</v>
      </c>
      <c r="Y11" s="10">
        <v>33422</v>
      </c>
      <c r="Z11" s="10">
        <v>46785</v>
      </c>
      <c r="AA11" s="10">
        <v>65513</v>
      </c>
      <c r="AB11" s="10">
        <v>91710</v>
      </c>
      <c r="AC11" s="10">
        <v>425024</v>
      </c>
      <c r="AD11" s="10">
        <v>510016</v>
      </c>
      <c r="AE11" s="10">
        <v>612020</v>
      </c>
      <c r="AF11" s="10">
        <v>734426</v>
      </c>
      <c r="AG11" s="10">
        <v>881309</v>
      </c>
      <c r="AH11" s="10">
        <v>1133369</v>
      </c>
      <c r="AI11" s="10">
        <v>1586719</v>
      </c>
      <c r="AJ11" s="10">
        <v>2221403</v>
      </c>
      <c r="AK11" s="10">
        <v>3109972</v>
      </c>
      <c r="AL11" s="10">
        <v>4353964</v>
      </c>
    </row>
    <row r="12" spans="1:38" ht="16.5" customHeight="1">
      <c r="A12" s="2">
        <v>11</v>
      </c>
      <c r="B12" s="23" t="str">
        <f t="shared" si="0"/>
        <v>[140,170,190,237,276,486,581,692,837,998,1605,1926,2314,2772,3342,15156,18172,21827,26204,31434,32465,45454,63628,89098,124726,616285,739523,887429,1064918,1277898,1643385,2300743,3221034,4509459,6313248]</v>
      </c>
      <c r="C12" s="2"/>
      <c r="D12" s="10">
        <v>140</v>
      </c>
      <c r="E12" s="10">
        <v>170</v>
      </c>
      <c r="F12" s="10">
        <v>190</v>
      </c>
      <c r="G12" s="10">
        <v>237</v>
      </c>
      <c r="H12" s="10">
        <v>276</v>
      </c>
      <c r="I12" s="10">
        <v>486</v>
      </c>
      <c r="J12" s="10">
        <v>581</v>
      </c>
      <c r="K12" s="10">
        <v>692</v>
      </c>
      <c r="L12" s="10">
        <v>837</v>
      </c>
      <c r="M12" s="10">
        <v>998</v>
      </c>
      <c r="N12" s="10">
        <v>1605</v>
      </c>
      <c r="O12" s="10">
        <v>1926</v>
      </c>
      <c r="P12" s="10">
        <v>2314</v>
      </c>
      <c r="Q12" s="10">
        <v>2772</v>
      </c>
      <c r="R12" s="10">
        <v>3342</v>
      </c>
      <c r="S12" s="10">
        <v>15156</v>
      </c>
      <c r="T12" s="10">
        <v>18172</v>
      </c>
      <c r="U12" s="10">
        <v>21827</v>
      </c>
      <c r="V12" s="10">
        <v>26204</v>
      </c>
      <c r="W12" s="10">
        <v>31434</v>
      </c>
      <c r="X12" s="10">
        <v>32465</v>
      </c>
      <c r="Y12" s="10">
        <v>45454</v>
      </c>
      <c r="Z12" s="10">
        <v>63628</v>
      </c>
      <c r="AA12" s="10">
        <v>89098</v>
      </c>
      <c r="AB12" s="10">
        <v>124726</v>
      </c>
      <c r="AC12" s="10">
        <v>616285</v>
      </c>
      <c r="AD12" s="10">
        <v>739523</v>
      </c>
      <c r="AE12" s="10">
        <v>887429</v>
      </c>
      <c r="AF12" s="10">
        <v>1064918</v>
      </c>
      <c r="AG12" s="10">
        <v>1277898</v>
      </c>
      <c r="AH12" s="10">
        <v>1643385</v>
      </c>
      <c r="AI12" s="10">
        <v>2300743</v>
      </c>
      <c r="AJ12" s="10">
        <v>3221034</v>
      </c>
      <c r="AK12" s="10">
        <v>4509459</v>
      </c>
      <c r="AL12" s="10">
        <v>6313248</v>
      </c>
    </row>
    <row r="13" spans="1:38" ht="16.5" customHeight="1">
      <c r="A13" s="2">
        <v>12</v>
      </c>
      <c r="B13" s="23" t="str">
        <f t="shared" si="0"/>
        <v>[182,221,247,308,359,642,767,913,1105,1317,2119,2542,3054,3659,4411,20612,24714,29685,35637,42750,44152,61817,86534,121173,169627,893613,1072308,1286772,1544131,1852952,2382908,3336077,4670499,6538716,9154210]</v>
      </c>
      <c r="C13" s="2"/>
      <c r="D13" s="10">
        <v>182</v>
      </c>
      <c r="E13" s="10">
        <v>221</v>
      </c>
      <c r="F13" s="10">
        <v>247</v>
      </c>
      <c r="G13" s="10">
        <v>308</v>
      </c>
      <c r="H13" s="10">
        <v>359</v>
      </c>
      <c r="I13" s="10">
        <v>642</v>
      </c>
      <c r="J13" s="10">
        <v>767</v>
      </c>
      <c r="K13" s="10">
        <v>913</v>
      </c>
      <c r="L13" s="10">
        <v>1105</v>
      </c>
      <c r="M13" s="10">
        <v>1317</v>
      </c>
      <c r="N13" s="10">
        <v>2119</v>
      </c>
      <c r="O13" s="10">
        <v>2542</v>
      </c>
      <c r="P13" s="10">
        <v>3054</v>
      </c>
      <c r="Q13" s="10">
        <v>3659</v>
      </c>
      <c r="R13" s="10">
        <v>4411</v>
      </c>
      <c r="S13" s="10">
        <v>20612</v>
      </c>
      <c r="T13" s="10">
        <v>24714</v>
      </c>
      <c r="U13" s="10">
        <v>29685</v>
      </c>
      <c r="V13" s="10">
        <v>35637</v>
      </c>
      <c r="W13" s="10">
        <v>42750</v>
      </c>
      <c r="X13" s="10">
        <v>44152</v>
      </c>
      <c r="Y13" s="10">
        <v>61817</v>
      </c>
      <c r="Z13" s="10">
        <v>86534</v>
      </c>
      <c r="AA13" s="10">
        <v>121173</v>
      </c>
      <c r="AB13" s="10">
        <v>169627</v>
      </c>
      <c r="AC13" s="10">
        <v>893613</v>
      </c>
      <c r="AD13" s="10">
        <v>1072308</v>
      </c>
      <c r="AE13" s="10">
        <v>1286772</v>
      </c>
      <c r="AF13" s="10">
        <v>1544131</v>
      </c>
      <c r="AG13" s="10">
        <v>1852952</v>
      </c>
      <c r="AH13" s="10">
        <v>2382908</v>
      </c>
      <c r="AI13" s="10">
        <v>3336077</v>
      </c>
      <c r="AJ13" s="10">
        <v>4670499</v>
      </c>
      <c r="AK13" s="10">
        <v>6538716</v>
      </c>
      <c r="AL13" s="10">
        <v>9154210</v>
      </c>
    </row>
    <row r="14" spans="1:38" ht="16.5" customHeight="1">
      <c r="A14" s="2">
        <v>13</v>
      </c>
      <c r="B14" s="23" t="str">
        <f t="shared" si="0"/>
        <v>[237,287,321,400,467,847,1012,1205,1459,1738,2797,3355,4031,4830,5823,28032,33611,40372,48466,58140,60047,84071,117686,164795,230693,1295739,1554847,1865819,2238990,2686780,3455217,4837312,6772224,9481138,13273605]</v>
      </c>
      <c r="C14" s="2"/>
      <c r="D14" s="10">
        <v>237</v>
      </c>
      <c r="E14" s="10">
        <v>287</v>
      </c>
      <c r="F14" s="10">
        <v>321</v>
      </c>
      <c r="G14" s="10">
        <v>400</v>
      </c>
      <c r="H14" s="10">
        <v>467</v>
      </c>
      <c r="I14" s="10">
        <v>847</v>
      </c>
      <c r="J14" s="10">
        <v>1012</v>
      </c>
      <c r="K14" s="10">
        <v>1205</v>
      </c>
      <c r="L14" s="10">
        <v>1459</v>
      </c>
      <c r="M14" s="10">
        <v>1738</v>
      </c>
      <c r="N14" s="10">
        <v>2797</v>
      </c>
      <c r="O14" s="10">
        <v>3355</v>
      </c>
      <c r="P14" s="10">
        <v>4031</v>
      </c>
      <c r="Q14" s="10">
        <v>4830</v>
      </c>
      <c r="R14" s="10">
        <v>5823</v>
      </c>
      <c r="S14" s="10">
        <v>28032</v>
      </c>
      <c r="T14" s="10">
        <v>33611</v>
      </c>
      <c r="U14" s="10">
        <v>40372</v>
      </c>
      <c r="V14" s="10">
        <v>48466</v>
      </c>
      <c r="W14" s="10">
        <v>58140</v>
      </c>
      <c r="X14" s="10">
        <v>60047</v>
      </c>
      <c r="Y14" s="10">
        <v>84071</v>
      </c>
      <c r="Z14" s="10">
        <v>117686</v>
      </c>
      <c r="AA14" s="10">
        <v>164795</v>
      </c>
      <c r="AB14" s="10">
        <v>230693</v>
      </c>
      <c r="AC14" s="10">
        <v>1295739</v>
      </c>
      <c r="AD14" s="10">
        <v>1554847</v>
      </c>
      <c r="AE14" s="10">
        <v>1865819</v>
      </c>
      <c r="AF14" s="10">
        <v>2238990</v>
      </c>
      <c r="AG14" s="10">
        <v>2686780</v>
      </c>
      <c r="AH14" s="10">
        <v>3455217</v>
      </c>
      <c r="AI14" s="10">
        <v>4837312</v>
      </c>
      <c r="AJ14" s="10">
        <v>6772224</v>
      </c>
      <c r="AK14" s="10">
        <v>9481138</v>
      </c>
      <c r="AL14" s="10">
        <v>13273605</v>
      </c>
    </row>
    <row r="15" spans="1:38" ht="16.5" customHeight="1">
      <c r="A15" s="2">
        <v>14</v>
      </c>
      <c r="B15" s="23" t="str">
        <f t="shared" si="0"/>
        <v>[308,373,417,520,607,1118,1336,1591,1926,2294,3692,4429,5321,6376,7686,38124,45711,54906,65914,79070,81664,114337,160053,224121,313742,1878822,2254528,2705438,3246536,3895831,5010065,7014102,9819725,13747650,19246727]</v>
      </c>
      <c r="C15" s="2"/>
      <c r="D15" s="10">
        <v>308</v>
      </c>
      <c r="E15" s="10">
        <v>373</v>
      </c>
      <c r="F15" s="10">
        <v>417</v>
      </c>
      <c r="G15" s="10">
        <v>520</v>
      </c>
      <c r="H15" s="10">
        <v>607</v>
      </c>
      <c r="I15" s="10">
        <v>1118</v>
      </c>
      <c r="J15" s="10">
        <v>1336</v>
      </c>
      <c r="K15" s="10">
        <v>1591</v>
      </c>
      <c r="L15" s="10">
        <v>1926</v>
      </c>
      <c r="M15" s="10">
        <v>2294</v>
      </c>
      <c r="N15" s="10">
        <v>3692</v>
      </c>
      <c r="O15" s="10">
        <v>4429</v>
      </c>
      <c r="P15" s="10">
        <v>5321</v>
      </c>
      <c r="Q15" s="10">
        <v>6376</v>
      </c>
      <c r="R15" s="10">
        <v>7686</v>
      </c>
      <c r="S15" s="10">
        <v>38124</v>
      </c>
      <c r="T15" s="10">
        <v>45711</v>
      </c>
      <c r="U15" s="10">
        <v>54906</v>
      </c>
      <c r="V15" s="10">
        <v>65914</v>
      </c>
      <c r="W15" s="10">
        <v>79070</v>
      </c>
      <c r="X15" s="10">
        <v>81664</v>
      </c>
      <c r="Y15" s="10">
        <v>114337</v>
      </c>
      <c r="Z15" s="10">
        <v>160053</v>
      </c>
      <c r="AA15" s="10">
        <v>224121</v>
      </c>
      <c r="AB15" s="10">
        <v>313742</v>
      </c>
      <c r="AC15" s="10">
        <v>1878822</v>
      </c>
      <c r="AD15" s="10">
        <v>2254528</v>
      </c>
      <c r="AE15" s="10">
        <v>2705438</v>
      </c>
      <c r="AF15" s="10">
        <v>3246536</v>
      </c>
      <c r="AG15" s="10">
        <v>3895831</v>
      </c>
      <c r="AH15" s="10">
        <v>5010065</v>
      </c>
      <c r="AI15" s="10">
        <v>7014102</v>
      </c>
      <c r="AJ15" s="10">
        <v>9819725</v>
      </c>
      <c r="AK15" s="10">
        <v>13747650</v>
      </c>
      <c r="AL15" s="10">
        <v>19246727</v>
      </c>
    </row>
    <row r="16" spans="1:38" ht="16.5" customHeight="1">
      <c r="A16" s="2">
        <v>15</v>
      </c>
      <c r="B16" s="23" t="str">
        <f t="shared" si="0"/>
        <v>[400,485,542,676,789,1476,1764,2100,2542,3028,4873,5846,7024,8416,10146,51849,62167,74672,89643,107535,111063,155498,217672,304805,426689,2724292,3269066,3922885,4707477,5648955,7264594,10170448,14238601,19934093,27907754]</v>
      </c>
      <c r="C16" s="2"/>
      <c r="D16" s="10">
        <v>400</v>
      </c>
      <c r="E16" s="10">
        <v>485</v>
      </c>
      <c r="F16" s="10">
        <v>542</v>
      </c>
      <c r="G16" s="10">
        <v>676</v>
      </c>
      <c r="H16" s="10">
        <v>789</v>
      </c>
      <c r="I16" s="10">
        <v>1476</v>
      </c>
      <c r="J16" s="10">
        <v>1764</v>
      </c>
      <c r="K16" s="10">
        <v>2100</v>
      </c>
      <c r="L16" s="10">
        <v>2542</v>
      </c>
      <c r="M16" s="10">
        <v>3028</v>
      </c>
      <c r="N16" s="10">
        <v>4873</v>
      </c>
      <c r="O16" s="10">
        <v>5846</v>
      </c>
      <c r="P16" s="10">
        <v>7024</v>
      </c>
      <c r="Q16" s="10">
        <v>8416</v>
      </c>
      <c r="R16" s="10">
        <v>10146</v>
      </c>
      <c r="S16" s="10">
        <v>51849</v>
      </c>
      <c r="T16" s="10">
        <v>62167</v>
      </c>
      <c r="U16" s="10">
        <v>74672</v>
      </c>
      <c r="V16" s="10">
        <v>89643</v>
      </c>
      <c r="W16" s="10">
        <v>107535</v>
      </c>
      <c r="X16" s="10">
        <v>111063</v>
      </c>
      <c r="Y16" s="10">
        <v>155498</v>
      </c>
      <c r="Z16" s="10">
        <v>217672</v>
      </c>
      <c r="AA16" s="10">
        <v>304805</v>
      </c>
      <c r="AB16" s="10">
        <v>426689</v>
      </c>
      <c r="AC16" s="10">
        <v>2724292</v>
      </c>
      <c r="AD16" s="10">
        <v>3269066</v>
      </c>
      <c r="AE16" s="10">
        <v>3922885</v>
      </c>
      <c r="AF16" s="10">
        <v>4707477</v>
      </c>
      <c r="AG16" s="10">
        <v>5648955</v>
      </c>
      <c r="AH16" s="10">
        <v>7264594</v>
      </c>
      <c r="AI16" s="10">
        <v>10170448</v>
      </c>
      <c r="AJ16" s="10">
        <v>14238601</v>
      </c>
      <c r="AK16" s="10">
        <v>19934093</v>
      </c>
      <c r="AL16" s="10">
        <v>27907754</v>
      </c>
    </row>
    <row r="17" spans="1:38" ht="16.5" customHeight="1">
      <c r="A17" s="2">
        <v>16</v>
      </c>
      <c r="B17" s="23" t="str">
        <f t="shared" si="0"/>
        <v>[520,631,705,879,1026,1948,2328,2772,3355,3997,6432,7717,9272,11109,13393,70515,84547,101554,121914,146248,151046,211477,296034,414535,580297,3950223,4740146,5688183,6825842,8190985,10533661,14747150,20645971,28904435,40466243]</v>
      </c>
      <c r="C17" s="2"/>
      <c r="D17" s="10">
        <v>520</v>
      </c>
      <c r="E17" s="10">
        <v>631</v>
      </c>
      <c r="F17" s="10">
        <v>705</v>
      </c>
      <c r="G17" s="10">
        <v>879</v>
      </c>
      <c r="H17" s="10">
        <v>1026</v>
      </c>
      <c r="I17" s="10">
        <v>1948</v>
      </c>
      <c r="J17" s="10">
        <v>2328</v>
      </c>
      <c r="K17" s="10">
        <v>2772</v>
      </c>
      <c r="L17" s="10">
        <v>3355</v>
      </c>
      <c r="M17" s="10">
        <v>3997</v>
      </c>
      <c r="N17" s="10">
        <v>6432</v>
      </c>
      <c r="O17" s="10">
        <v>7717</v>
      </c>
      <c r="P17" s="10">
        <v>9272</v>
      </c>
      <c r="Q17" s="10">
        <v>11109</v>
      </c>
      <c r="R17" s="10">
        <v>13393</v>
      </c>
      <c r="S17" s="10">
        <v>70515</v>
      </c>
      <c r="T17" s="10">
        <v>84547</v>
      </c>
      <c r="U17" s="10">
        <v>101554</v>
      </c>
      <c r="V17" s="10">
        <v>121914</v>
      </c>
      <c r="W17" s="10">
        <v>146248</v>
      </c>
      <c r="X17" s="10">
        <v>151046</v>
      </c>
      <c r="Y17" s="10">
        <v>211477</v>
      </c>
      <c r="Z17" s="10">
        <v>296034</v>
      </c>
      <c r="AA17" s="10">
        <v>414535</v>
      </c>
      <c r="AB17" s="10">
        <v>580297</v>
      </c>
      <c r="AC17" s="10">
        <v>3950223</v>
      </c>
      <c r="AD17" s="10">
        <v>4740146</v>
      </c>
      <c r="AE17" s="10">
        <v>5688183</v>
      </c>
      <c r="AF17" s="10">
        <v>6825842</v>
      </c>
      <c r="AG17" s="10">
        <v>8190985</v>
      </c>
      <c r="AH17" s="10">
        <v>10533661</v>
      </c>
      <c r="AI17" s="10">
        <v>14747150</v>
      </c>
      <c r="AJ17" s="10">
        <v>20645971</v>
      </c>
      <c r="AK17" s="10">
        <v>28904435</v>
      </c>
      <c r="AL17" s="10">
        <v>40466243</v>
      </c>
    </row>
    <row r="18" spans="1:38" ht="16.5" customHeight="1">
      <c r="A18" s="2">
        <v>17</v>
      </c>
      <c r="B18" s="23" t="str">
        <f t="shared" si="0"/>
        <v>[676,820,917,1143,1334,2571,3073,3659,4429,5276,8490,10186,12239,14664,17679,95900,114984,138113,165803,198897,205423,287609,402606,563768,789204,5727823,6873212,8247865,9897471,11876928,15273808,21383368,29936658,41911431,58676052]</v>
      </c>
      <c r="C18" s="2"/>
      <c r="D18" s="10">
        <v>676</v>
      </c>
      <c r="E18" s="10">
        <v>820</v>
      </c>
      <c r="F18" s="10">
        <v>917</v>
      </c>
      <c r="G18" s="10">
        <v>1143</v>
      </c>
      <c r="H18" s="10">
        <v>1334</v>
      </c>
      <c r="I18" s="10">
        <v>2571</v>
      </c>
      <c r="J18" s="10">
        <v>3073</v>
      </c>
      <c r="K18" s="10">
        <v>3659</v>
      </c>
      <c r="L18" s="10">
        <v>4429</v>
      </c>
      <c r="M18" s="10">
        <v>5276</v>
      </c>
      <c r="N18" s="10">
        <v>8490</v>
      </c>
      <c r="O18" s="10">
        <v>10186</v>
      </c>
      <c r="P18" s="10">
        <v>12239</v>
      </c>
      <c r="Q18" s="10">
        <v>14664</v>
      </c>
      <c r="R18" s="10">
        <v>17679</v>
      </c>
      <c r="S18" s="10">
        <v>95900</v>
      </c>
      <c r="T18" s="10">
        <v>114984</v>
      </c>
      <c r="U18" s="10">
        <v>138113</v>
      </c>
      <c r="V18" s="10">
        <v>165803</v>
      </c>
      <c r="W18" s="10">
        <v>198897</v>
      </c>
      <c r="X18" s="10">
        <v>205423</v>
      </c>
      <c r="Y18" s="10">
        <v>287609</v>
      </c>
      <c r="Z18" s="10">
        <v>402606</v>
      </c>
      <c r="AA18" s="10">
        <v>563768</v>
      </c>
      <c r="AB18" s="10">
        <v>789204</v>
      </c>
      <c r="AC18" s="10">
        <v>5727823</v>
      </c>
      <c r="AD18" s="10">
        <v>6873212</v>
      </c>
      <c r="AE18" s="10">
        <v>8247865</v>
      </c>
      <c r="AF18" s="10">
        <v>9897471</v>
      </c>
      <c r="AG18" s="10">
        <v>11876928</v>
      </c>
      <c r="AH18" s="10">
        <v>15273808</v>
      </c>
      <c r="AI18" s="10">
        <v>21383368</v>
      </c>
      <c r="AJ18" s="10">
        <v>29936658</v>
      </c>
      <c r="AK18" s="10">
        <v>41911431</v>
      </c>
      <c r="AL18" s="10">
        <v>58676052</v>
      </c>
    </row>
    <row r="19" spans="1:38" ht="16.5" customHeight="1">
      <c r="A19" s="2">
        <v>18</v>
      </c>
      <c r="B19" s="23" t="str">
        <f t="shared" si="0"/>
        <v>[879,1066,1192,1486,1734,3394,4056,4830,5846,6964,11207,13446,16155,19356,23336,130424,156378,187834,225492,270500,279375,391148,547544,766724,1073317,8305343,9966157,11959404,14351333,17221546,22147022,31005884,43408154,60771575,85080275]</v>
      </c>
      <c r="C19" s="2"/>
      <c r="D19" s="10">
        <v>879</v>
      </c>
      <c r="E19" s="10">
        <v>1066</v>
      </c>
      <c r="F19" s="10">
        <v>1192</v>
      </c>
      <c r="G19" s="10">
        <v>1486</v>
      </c>
      <c r="H19" s="10">
        <v>1734</v>
      </c>
      <c r="I19" s="10">
        <v>3394</v>
      </c>
      <c r="J19" s="10">
        <v>4056</v>
      </c>
      <c r="K19" s="10">
        <v>4830</v>
      </c>
      <c r="L19" s="10">
        <v>5846</v>
      </c>
      <c r="M19" s="10">
        <v>6964</v>
      </c>
      <c r="N19" s="10">
        <v>11207</v>
      </c>
      <c r="O19" s="10">
        <v>13446</v>
      </c>
      <c r="P19" s="10">
        <v>16155</v>
      </c>
      <c r="Q19" s="10">
        <v>19356</v>
      </c>
      <c r="R19" s="10">
        <v>23336</v>
      </c>
      <c r="S19" s="10">
        <v>130424</v>
      </c>
      <c r="T19" s="10">
        <v>156378</v>
      </c>
      <c r="U19" s="10">
        <v>187834</v>
      </c>
      <c r="V19" s="10">
        <v>225492</v>
      </c>
      <c r="W19" s="10">
        <v>270500</v>
      </c>
      <c r="X19" s="10">
        <v>279375</v>
      </c>
      <c r="Y19" s="10">
        <v>391148</v>
      </c>
      <c r="Z19" s="10">
        <v>547544</v>
      </c>
      <c r="AA19" s="10">
        <v>766724</v>
      </c>
      <c r="AB19" s="10">
        <v>1073317</v>
      </c>
      <c r="AC19" s="10">
        <v>8305343</v>
      </c>
      <c r="AD19" s="10">
        <v>9966157</v>
      </c>
      <c r="AE19" s="10">
        <v>11959404</v>
      </c>
      <c r="AF19" s="10">
        <v>14351333</v>
      </c>
      <c r="AG19" s="10">
        <v>17221546</v>
      </c>
      <c r="AH19" s="10">
        <v>22147022</v>
      </c>
      <c r="AI19" s="10">
        <v>31005884</v>
      </c>
      <c r="AJ19" s="10">
        <v>43408154</v>
      </c>
      <c r="AK19" s="10">
        <v>60771575</v>
      </c>
      <c r="AL19" s="10">
        <v>85080275</v>
      </c>
    </row>
    <row r="20" spans="1:38" ht="16.5" customHeight="1">
      <c r="A20" s="2">
        <v>19</v>
      </c>
      <c r="B20" s="23" t="str">
        <f t="shared" si="0"/>
        <v>[1143,1386,1550,1932,2254,4480,5354,6376,7717,9192,14793,17749,21325,25550,30804,177377,212674,255454,306669,367880,379950,531961,744660,1042745,1459711,12042747,14450928,17341136,20809433,24971242,32113182,44958532,62941823,88118784,123366399]</v>
      </c>
      <c r="C20" s="2"/>
      <c r="D20" s="10">
        <v>1143</v>
      </c>
      <c r="E20" s="10">
        <v>1386</v>
      </c>
      <c r="F20" s="10">
        <v>1550</v>
      </c>
      <c r="G20" s="10">
        <v>1932</v>
      </c>
      <c r="H20" s="10">
        <v>2254</v>
      </c>
      <c r="I20" s="10">
        <v>4480</v>
      </c>
      <c r="J20" s="10">
        <v>5354</v>
      </c>
      <c r="K20" s="10">
        <v>6376</v>
      </c>
      <c r="L20" s="10">
        <v>7717</v>
      </c>
      <c r="M20" s="10">
        <v>9192</v>
      </c>
      <c r="N20" s="10">
        <v>14793</v>
      </c>
      <c r="O20" s="10">
        <v>17749</v>
      </c>
      <c r="P20" s="10">
        <v>21325</v>
      </c>
      <c r="Q20" s="10">
        <v>25550</v>
      </c>
      <c r="R20" s="10">
        <v>30804</v>
      </c>
      <c r="S20" s="10">
        <v>177377</v>
      </c>
      <c r="T20" s="10">
        <v>212674</v>
      </c>
      <c r="U20" s="10">
        <v>255454</v>
      </c>
      <c r="V20" s="10">
        <v>306669</v>
      </c>
      <c r="W20" s="10">
        <v>367880</v>
      </c>
      <c r="X20" s="10">
        <v>379950</v>
      </c>
      <c r="Y20" s="10">
        <v>531961</v>
      </c>
      <c r="Z20" s="10">
        <v>744660</v>
      </c>
      <c r="AA20" s="10">
        <v>1042745</v>
      </c>
      <c r="AB20" s="10">
        <v>1459711</v>
      </c>
      <c r="AC20" s="10">
        <v>12042747</v>
      </c>
      <c r="AD20" s="10">
        <v>14450928</v>
      </c>
      <c r="AE20" s="10">
        <v>17341136</v>
      </c>
      <c r="AF20" s="10">
        <v>20809433</v>
      </c>
      <c r="AG20" s="10">
        <v>24971242</v>
      </c>
      <c r="AH20" s="10">
        <v>32113182</v>
      </c>
      <c r="AI20" s="10">
        <v>44958532</v>
      </c>
      <c r="AJ20" s="10">
        <v>62941823</v>
      </c>
      <c r="AK20" s="10">
        <v>88118784</v>
      </c>
      <c r="AL20" s="10">
        <v>123366399</v>
      </c>
    </row>
    <row r="21" spans="1:38" ht="16.5" customHeight="1">
      <c r="A21" s="2">
        <v>20</v>
      </c>
      <c r="B21" s="23" t="str">
        <f t="shared" si="0"/>
        <v>[1326,1608,1798,2241,2615,5018,5996,7141,8643,10295,16568,19879,23884,28616,34500,196888,236068,283554,340403,408347,421745,590477,826573,1157447,1620279,13066380,15679257,18815133,22578235,27093798,35485066,49679178,69550714,97371256,136319871]</v>
      </c>
      <c r="C21" s="2"/>
      <c r="D21" s="10">
        <v>1326</v>
      </c>
      <c r="E21" s="10">
        <v>1608</v>
      </c>
      <c r="F21" s="10">
        <v>1798</v>
      </c>
      <c r="G21" s="10">
        <v>2241</v>
      </c>
      <c r="H21" s="10">
        <v>2615</v>
      </c>
      <c r="I21" s="10">
        <v>5018</v>
      </c>
      <c r="J21" s="10">
        <v>5996</v>
      </c>
      <c r="K21" s="10">
        <v>7141</v>
      </c>
      <c r="L21" s="10">
        <v>8643</v>
      </c>
      <c r="M21" s="10">
        <v>10295</v>
      </c>
      <c r="N21" s="10">
        <v>16568</v>
      </c>
      <c r="O21" s="10">
        <v>19879</v>
      </c>
      <c r="P21" s="10">
        <v>23884</v>
      </c>
      <c r="Q21" s="10">
        <v>28616</v>
      </c>
      <c r="R21" s="10">
        <v>34500</v>
      </c>
      <c r="S21" s="10">
        <v>196888</v>
      </c>
      <c r="T21" s="10">
        <v>236068</v>
      </c>
      <c r="U21" s="10">
        <v>283554</v>
      </c>
      <c r="V21" s="10">
        <v>340403</v>
      </c>
      <c r="W21" s="10">
        <v>408347</v>
      </c>
      <c r="X21" s="10">
        <v>421745</v>
      </c>
      <c r="Y21" s="10">
        <v>590477</v>
      </c>
      <c r="Z21" s="10">
        <v>826573</v>
      </c>
      <c r="AA21" s="10">
        <v>1157447</v>
      </c>
      <c r="AB21" s="10">
        <v>1620279</v>
      </c>
      <c r="AC21" s="10">
        <v>13066380</v>
      </c>
      <c r="AD21" s="10">
        <v>15679257</v>
      </c>
      <c r="AE21" s="10">
        <v>18815133</v>
      </c>
      <c r="AF21" s="10">
        <v>22578235</v>
      </c>
      <c r="AG21" s="10">
        <v>27093798</v>
      </c>
      <c r="AH21" s="10">
        <v>35485066</v>
      </c>
      <c r="AI21" s="10">
        <v>49679178</v>
      </c>
      <c r="AJ21" s="10">
        <v>69550714</v>
      </c>
      <c r="AK21" s="10">
        <v>97371256</v>
      </c>
      <c r="AL21" s="10">
        <v>136319871</v>
      </c>
    </row>
    <row r="22" spans="1:38" ht="16.5" customHeight="1">
      <c r="A22" s="2">
        <v>21</v>
      </c>
      <c r="B22" s="23" t="str">
        <f t="shared" si="0"/>
        <v>[1538,1865,2086,2600,3033,5620,6716,7998,9680,11530,18556,22264,26750,32050,38640,218546,262035,314745,377847,453265,468137,655429,917496,1284766,1798510,14177022,17011994,20414419,24497385,29396771,39210998,54895492,76853539,107595238,150633457]</v>
      </c>
      <c r="C22" s="2"/>
      <c r="D22" s="10">
        <v>1538</v>
      </c>
      <c r="E22" s="10">
        <v>1865</v>
      </c>
      <c r="F22" s="10">
        <v>2086</v>
      </c>
      <c r="G22" s="10">
        <v>2600</v>
      </c>
      <c r="H22" s="10">
        <v>3033</v>
      </c>
      <c r="I22" s="10">
        <v>5620</v>
      </c>
      <c r="J22" s="10">
        <v>6716</v>
      </c>
      <c r="K22" s="10">
        <v>7998</v>
      </c>
      <c r="L22" s="10">
        <v>9680</v>
      </c>
      <c r="M22" s="10">
        <v>11530</v>
      </c>
      <c r="N22" s="10">
        <v>18556</v>
      </c>
      <c r="O22" s="10">
        <v>22264</v>
      </c>
      <c r="P22" s="10">
        <v>26750</v>
      </c>
      <c r="Q22" s="10">
        <v>32050</v>
      </c>
      <c r="R22" s="10">
        <v>38640</v>
      </c>
      <c r="S22" s="10">
        <v>218546</v>
      </c>
      <c r="T22" s="10">
        <v>262035</v>
      </c>
      <c r="U22" s="10">
        <v>314745</v>
      </c>
      <c r="V22" s="10">
        <v>377847</v>
      </c>
      <c r="W22" s="10">
        <v>453265</v>
      </c>
      <c r="X22" s="10">
        <v>468137</v>
      </c>
      <c r="Y22" s="10">
        <v>655429</v>
      </c>
      <c r="Z22" s="10">
        <v>917496</v>
      </c>
      <c r="AA22" s="10">
        <v>1284766</v>
      </c>
      <c r="AB22" s="10">
        <v>1798510</v>
      </c>
      <c r="AC22" s="10">
        <v>14177022</v>
      </c>
      <c r="AD22" s="10">
        <v>17011994</v>
      </c>
      <c r="AE22" s="10">
        <v>20414419</v>
      </c>
      <c r="AF22" s="10">
        <v>24497385</v>
      </c>
      <c r="AG22" s="10">
        <v>29396771</v>
      </c>
      <c r="AH22" s="10">
        <v>39210998</v>
      </c>
      <c r="AI22" s="10">
        <v>54895492</v>
      </c>
      <c r="AJ22" s="10">
        <v>76853539</v>
      </c>
      <c r="AK22" s="10">
        <v>107595238</v>
      </c>
      <c r="AL22" s="10">
        <v>150633457</v>
      </c>
    </row>
    <row r="23" spans="1:38" ht="16.5" customHeight="1">
      <c r="A23" s="2">
        <v>22</v>
      </c>
      <c r="B23" s="23" t="str">
        <f t="shared" si="0"/>
        <v>[1784,2163,2420,3016,3518,6294,7522,8958,10842,12914,20783,24936,29960,35896,43277,242586,290859,349367,419410,503124,519632,727526,1018421,1426090,1996346,15382069,18458013,22149645,26579663,31895497,43328153,60659519,84923161,118892738,166449970]</v>
      </c>
      <c r="C23" s="2"/>
      <c r="D23" s="10">
        <v>1784</v>
      </c>
      <c r="E23" s="10">
        <v>2163</v>
      </c>
      <c r="F23" s="10">
        <v>2420</v>
      </c>
      <c r="G23" s="10">
        <v>3016</v>
      </c>
      <c r="H23" s="10">
        <v>3518</v>
      </c>
      <c r="I23" s="10">
        <v>6294</v>
      </c>
      <c r="J23" s="10">
        <v>7522</v>
      </c>
      <c r="K23" s="10">
        <v>8958</v>
      </c>
      <c r="L23" s="10">
        <v>10842</v>
      </c>
      <c r="M23" s="10">
        <v>12914</v>
      </c>
      <c r="N23" s="10">
        <v>20783</v>
      </c>
      <c r="O23" s="10">
        <v>24936</v>
      </c>
      <c r="P23" s="10">
        <v>29960</v>
      </c>
      <c r="Q23" s="10">
        <v>35896</v>
      </c>
      <c r="R23" s="10">
        <v>43277</v>
      </c>
      <c r="S23" s="10">
        <v>242586</v>
      </c>
      <c r="T23" s="10">
        <v>290859</v>
      </c>
      <c r="U23" s="10">
        <v>349367</v>
      </c>
      <c r="V23" s="10">
        <v>419410</v>
      </c>
      <c r="W23" s="10">
        <v>503124</v>
      </c>
      <c r="X23" s="10">
        <v>519632</v>
      </c>
      <c r="Y23" s="10">
        <v>727526</v>
      </c>
      <c r="Z23" s="10">
        <v>1018421</v>
      </c>
      <c r="AA23" s="10">
        <v>1426090</v>
      </c>
      <c r="AB23" s="10">
        <v>1996346</v>
      </c>
      <c r="AC23" s="10">
        <v>15382069</v>
      </c>
      <c r="AD23" s="10">
        <v>18458013</v>
      </c>
      <c r="AE23" s="10">
        <v>22149645</v>
      </c>
      <c r="AF23" s="10">
        <v>26579663</v>
      </c>
      <c r="AG23" s="10">
        <v>31895497</v>
      </c>
      <c r="AH23" s="10">
        <v>43328153</v>
      </c>
      <c r="AI23" s="10">
        <v>60659519</v>
      </c>
      <c r="AJ23" s="10">
        <v>84923161</v>
      </c>
      <c r="AK23" s="10">
        <v>118892738</v>
      </c>
      <c r="AL23" s="10">
        <v>166449970</v>
      </c>
    </row>
    <row r="24" spans="1:38" ht="16.5" customHeight="1">
      <c r="A24" s="2">
        <v>23</v>
      </c>
      <c r="B24" s="23" t="str">
        <f t="shared" si="0"/>
        <v>[2069,2509,2807,3499,4081,7049,8425,10033,12143,14464,23277,27928,33555,40204,48470,269270,322853,387797,465545,558468,576792,807554,1130447,1582960,2215944,16689545,20026944,24032365,28838934,34606614,47877609,67028768,93840093,131376475,183927217]</v>
      </c>
      <c r="C24" s="2"/>
      <c r="D24" s="10">
        <v>2069</v>
      </c>
      <c r="E24" s="10">
        <v>2509</v>
      </c>
      <c r="F24" s="10">
        <v>2807</v>
      </c>
      <c r="G24" s="10">
        <v>3499</v>
      </c>
      <c r="H24" s="10">
        <v>4081</v>
      </c>
      <c r="I24" s="10">
        <v>7049</v>
      </c>
      <c r="J24" s="10">
        <v>8425</v>
      </c>
      <c r="K24" s="10">
        <v>10033</v>
      </c>
      <c r="L24" s="10">
        <v>12143</v>
      </c>
      <c r="M24" s="10">
        <v>14464</v>
      </c>
      <c r="N24" s="10">
        <v>23277</v>
      </c>
      <c r="O24" s="10">
        <v>27928</v>
      </c>
      <c r="P24" s="10">
        <v>33555</v>
      </c>
      <c r="Q24" s="10">
        <v>40204</v>
      </c>
      <c r="R24" s="10">
        <v>48470</v>
      </c>
      <c r="S24" s="10">
        <v>269270</v>
      </c>
      <c r="T24" s="10">
        <v>322853</v>
      </c>
      <c r="U24" s="10">
        <v>387797</v>
      </c>
      <c r="V24" s="10">
        <v>465545</v>
      </c>
      <c r="W24" s="10">
        <v>558468</v>
      </c>
      <c r="X24" s="10">
        <v>576792</v>
      </c>
      <c r="Y24" s="10">
        <v>807554</v>
      </c>
      <c r="Z24" s="10">
        <v>1130447</v>
      </c>
      <c r="AA24" s="10">
        <v>1582960</v>
      </c>
      <c r="AB24" s="10">
        <v>2215944</v>
      </c>
      <c r="AC24" s="10">
        <v>16689545</v>
      </c>
      <c r="AD24" s="10">
        <v>20026944</v>
      </c>
      <c r="AE24" s="10">
        <v>24032365</v>
      </c>
      <c r="AF24" s="10">
        <v>28838934</v>
      </c>
      <c r="AG24" s="10">
        <v>34606614</v>
      </c>
      <c r="AH24" s="10">
        <v>47877609</v>
      </c>
      <c r="AI24" s="10">
        <v>67028768</v>
      </c>
      <c r="AJ24" s="10">
        <v>93840093</v>
      </c>
      <c r="AK24" s="10">
        <v>131376475</v>
      </c>
      <c r="AL24" s="10">
        <v>183927217</v>
      </c>
    </row>
    <row r="25" spans="1:38" ht="16.5" customHeight="1">
      <c r="A25" s="2">
        <v>24</v>
      </c>
      <c r="B25" s="23" t="str">
        <f t="shared" si="0"/>
        <v>[2400,2910,3256,4059,4734,7895,9436,11237,13600,16200,26070,31279,37582,45028,54286,298890,358367,430455,516755,619899,640239,896385,1254796,1757086,2459698,18108156,21729234,26075116,31290243,37548176,52904758,74066789,103693303,145171005,203239575]</v>
      </c>
      <c r="C25" s="2"/>
      <c r="D25" s="10">
        <v>2400</v>
      </c>
      <c r="E25" s="10">
        <v>2910</v>
      </c>
      <c r="F25" s="10">
        <v>3256</v>
      </c>
      <c r="G25" s="10">
        <v>4059</v>
      </c>
      <c r="H25" s="10">
        <v>4734</v>
      </c>
      <c r="I25" s="10">
        <v>7895</v>
      </c>
      <c r="J25" s="10">
        <v>9436</v>
      </c>
      <c r="K25" s="10">
        <v>11237</v>
      </c>
      <c r="L25" s="10">
        <v>13600</v>
      </c>
      <c r="M25" s="10">
        <v>16200</v>
      </c>
      <c r="N25" s="10">
        <v>26070</v>
      </c>
      <c r="O25" s="10">
        <v>31279</v>
      </c>
      <c r="P25" s="10">
        <v>37582</v>
      </c>
      <c r="Q25" s="10">
        <v>45028</v>
      </c>
      <c r="R25" s="10">
        <v>54286</v>
      </c>
      <c r="S25" s="10">
        <v>298890</v>
      </c>
      <c r="T25" s="10">
        <v>358367</v>
      </c>
      <c r="U25" s="10">
        <v>430455</v>
      </c>
      <c r="V25" s="10">
        <v>516755</v>
      </c>
      <c r="W25" s="10">
        <v>619899</v>
      </c>
      <c r="X25" s="10">
        <v>640239</v>
      </c>
      <c r="Y25" s="10">
        <v>896385</v>
      </c>
      <c r="Z25" s="10">
        <v>1254796</v>
      </c>
      <c r="AA25" s="10">
        <v>1757086</v>
      </c>
      <c r="AB25" s="10">
        <v>2459698</v>
      </c>
      <c r="AC25" s="10">
        <v>18108156</v>
      </c>
      <c r="AD25" s="10">
        <v>21729234</v>
      </c>
      <c r="AE25" s="10">
        <v>26075116</v>
      </c>
      <c r="AF25" s="10">
        <v>31290243</v>
      </c>
      <c r="AG25" s="10">
        <v>37548176</v>
      </c>
      <c r="AH25" s="10">
        <v>52904758</v>
      </c>
      <c r="AI25" s="10">
        <v>74066789</v>
      </c>
      <c r="AJ25" s="10">
        <v>103693303</v>
      </c>
      <c r="AK25" s="10">
        <v>145171005</v>
      </c>
      <c r="AL25" s="10">
        <v>203239575</v>
      </c>
    </row>
    <row r="26" spans="1:38" ht="16.5" customHeight="1">
      <c r="A26" s="2">
        <v>25</v>
      </c>
      <c r="B26" s="23" t="str">
        <f t="shared" si="0"/>
        <v>[2784,3376,3777,4708,5491,8842,10568,12585,15232,18144,29198,35032,42092,50431,60800,331768,397787,477805,573598,688088,710665,994987,1392824,1950365,2730265,19647349,23576219,28291501,33949914,40739771,58459758,81843802,114581100,160413961,224579730]</v>
      </c>
      <c r="C26" s="2"/>
      <c r="D26" s="10">
        <v>2784</v>
      </c>
      <c r="E26" s="10">
        <v>3376</v>
      </c>
      <c r="F26" s="10">
        <v>3777</v>
      </c>
      <c r="G26" s="10">
        <v>4708</v>
      </c>
      <c r="H26" s="10">
        <v>5491</v>
      </c>
      <c r="I26" s="10">
        <v>8842</v>
      </c>
      <c r="J26" s="10">
        <v>10568</v>
      </c>
      <c r="K26" s="10">
        <v>12585</v>
      </c>
      <c r="L26" s="10">
        <v>15232</v>
      </c>
      <c r="M26" s="10">
        <v>18144</v>
      </c>
      <c r="N26" s="10">
        <v>29198</v>
      </c>
      <c r="O26" s="10">
        <v>35032</v>
      </c>
      <c r="P26" s="10">
        <v>42092</v>
      </c>
      <c r="Q26" s="10">
        <v>50431</v>
      </c>
      <c r="R26" s="10">
        <v>60800</v>
      </c>
      <c r="S26" s="10">
        <v>331768</v>
      </c>
      <c r="T26" s="10">
        <v>397787</v>
      </c>
      <c r="U26" s="10">
        <v>477805</v>
      </c>
      <c r="V26" s="10">
        <v>573598</v>
      </c>
      <c r="W26" s="10">
        <v>688088</v>
      </c>
      <c r="X26" s="10">
        <v>710665</v>
      </c>
      <c r="Y26" s="10">
        <v>994987</v>
      </c>
      <c r="Z26" s="10">
        <v>1392824</v>
      </c>
      <c r="AA26" s="10">
        <v>1950365</v>
      </c>
      <c r="AB26" s="10">
        <v>2730265</v>
      </c>
      <c r="AC26" s="10">
        <v>19647349</v>
      </c>
      <c r="AD26" s="10">
        <v>23576219</v>
      </c>
      <c r="AE26" s="10">
        <v>28291501</v>
      </c>
      <c r="AF26" s="10">
        <v>33949914</v>
      </c>
      <c r="AG26" s="10">
        <v>40739771</v>
      </c>
      <c r="AH26" s="10">
        <v>58459758</v>
      </c>
      <c r="AI26" s="10">
        <v>81843802</v>
      </c>
      <c r="AJ26" s="10">
        <v>114581100</v>
      </c>
      <c r="AK26" s="10">
        <v>160413961</v>
      </c>
      <c r="AL26" s="10">
        <v>224579730</v>
      </c>
    </row>
    <row r="27" spans="1:38" ht="16.5" customHeight="1">
      <c r="A27" s="2">
        <v>26</v>
      </c>
      <c r="B27" s="23" t="str">
        <f t="shared" si="0"/>
        <v>[3229,3916,4381,5461,6370,9903,11836,14095,17060,20321,32702,39236,47143,56483,68096,368262,441544,530364,636694,763778,788838,1104436,1546035,2164905,3030594,21317374,25580198,30696279,36835657,44202652,64598033,90437401,126612116,177257427,248160602]</v>
      </c>
      <c r="C27" s="2"/>
      <c r="D27" s="10">
        <v>3229</v>
      </c>
      <c r="E27" s="10">
        <v>3916</v>
      </c>
      <c r="F27" s="10">
        <v>4381</v>
      </c>
      <c r="G27" s="10">
        <v>5461</v>
      </c>
      <c r="H27" s="10">
        <v>6370</v>
      </c>
      <c r="I27" s="10">
        <v>9903</v>
      </c>
      <c r="J27" s="10">
        <v>11836</v>
      </c>
      <c r="K27" s="10">
        <v>14095</v>
      </c>
      <c r="L27" s="10">
        <v>17060</v>
      </c>
      <c r="M27" s="10">
        <v>20321</v>
      </c>
      <c r="N27" s="10">
        <v>32702</v>
      </c>
      <c r="O27" s="10">
        <v>39236</v>
      </c>
      <c r="P27" s="10">
        <v>47143</v>
      </c>
      <c r="Q27" s="10">
        <v>56483</v>
      </c>
      <c r="R27" s="10">
        <v>68096</v>
      </c>
      <c r="S27" s="10">
        <v>368262</v>
      </c>
      <c r="T27" s="10">
        <v>441544</v>
      </c>
      <c r="U27" s="10">
        <v>530364</v>
      </c>
      <c r="V27" s="10">
        <v>636694</v>
      </c>
      <c r="W27" s="10">
        <v>763778</v>
      </c>
      <c r="X27" s="10">
        <v>788838</v>
      </c>
      <c r="Y27" s="10">
        <v>1104436</v>
      </c>
      <c r="Z27" s="10">
        <v>1546035</v>
      </c>
      <c r="AA27" s="10">
        <v>2164905</v>
      </c>
      <c r="AB27" s="10">
        <v>3030594</v>
      </c>
      <c r="AC27" s="10">
        <v>21317374</v>
      </c>
      <c r="AD27" s="10">
        <v>25580198</v>
      </c>
      <c r="AE27" s="10">
        <v>30696279</v>
      </c>
      <c r="AF27" s="10">
        <v>36835657</v>
      </c>
      <c r="AG27" s="10">
        <v>44202652</v>
      </c>
      <c r="AH27" s="10">
        <v>64598033</v>
      </c>
      <c r="AI27" s="10">
        <v>90437401</v>
      </c>
      <c r="AJ27" s="10">
        <v>126612116</v>
      </c>
      <c r="AK27" s="10">
        <v>177257427</v>
      </c>
      <c r="AL27" s="10">
        <v>248160602</v>
      </c>
    </row>
    <row r="28" spans="1:38" ht="16.5" customHeight="1">
      <c r="A28" s="2">
        <v>27</v>
      </c>
      <c r="B28" s="23" t="str">
        <f t="shared" si="0"/>
        <v>[3746,4543,5082,6335,7389,11091,13256,15786,19107,22760,36626,43944,52800,63261,76268,408771,490114,588704,706730,847794,875610,1225924,1716099,2403045,3363959,23129351,27754515,33305463,39966688,47959877,71380826,99933328,139906388,195869457,274217465]</v>
      </c>
      <c r="C28" s="2"/>
      <c r="D28" s="10">
        <v>3746</v>
      </c>
      <c r="E28" s="10">
        <v>4543</v>
      </c>
      <c r="F28" s="10">
        <v>5082</v>
      </c>
      <c r="G28" s="10">
        <v>6335</v>
      </c>
      <c r="H28" s="10">
        <v>7389</v>
      </c>
      <c r="I28" s="10">
        <v>11091</v>
      </c>
      <c r="J28" s="10">
        <v>13256</v>
      </c>
      <c r="K28" s="10">
        <v>15786</v>
      </c>
      <c r="L28" s="10">
        <v>19107</v>
      </c>
      <c r="M28" s="10">
        <v>22760</v>
      </c>
      <c r="N28" s="10">
        <v>36626</v>
      </c>
      <c r="O28" s="10">
        <v>43944</v>
      </c>
      <c r="P28" s="10">
        <v>52800</v>
      </c>
      <c r="Q28" s="10">
        <v>63261</v>
      </c>
      <c r="R28" s="10">
        <v>76268</v>
      </c>
      <c r="S28" s="10">
        <v>408771</v>
      </c>
      <c r="T28" s="10">
        <v>490114</v>
      </c>
      <c r="U28" s="10">
        <v>588704</v>
      </c>
      <c r="V28" s="10">
        <v>706730</v>
      </c>
      <c r="W28" s="10">
        <v>847794</v>
      </c>
      <c r="X28" s="10">
        <v>875610</v>
      </c>
      <c r="Y28" s="10">
        <v>1225924</v>
      </c>
      <c r="Z28" s="10">
        <v>1716099</v>
      </c>
      <c r="AA28" s="10">
        <v>2403045</v>
      </c>
      <c r="AB28" s="10">
        <v>3363959</v>
      </c>
      <c r="AC28" s="10">
        <v>23129351</v>
      </c>
      <c r="AD28" s="10">
        <v>27754515</v>
      </c>
      <c r="AE28" s="10">
        <v>33305463</v>
      </c>
      <c r="AF28" s="10">
        <v>39966688</v>
      </c>
      <c r="AG28" s="10">
        <v>47959877</v>
      </c>
      <c r="AH28" s="10">
        <v>71380826</v>
      </c>
      <c r="AI28" s="10">
        <v>99933328</v>
      </c>
      <c r="AJ28" s="10">
        <v>139906388</v>
      </c>
      <c r="AK28" s="10">
        <v>195869457</v>
      </c>
      <c r="AL28" s="10">
        <v>274217465</v>
      </c>
    </row>
    <row r="29" spans="1:38" ht="16.5" customHeight="1">
      <c r="A29" s="2">
        <v>28</v>
      </c>
      <c r="B29" s="23" t="str">
        <f t="shared" si="0"/>
        <v>[4345,5270,5895,7349,8571,12422,14847,17680,21400,25491,41021,49217,59136,70852,85420,453736,544027,653461,784470,941051,971927,1360776,1904870,2667380,3733994,25095346,30113649,36136427,43363856,52036467,78875813,110426327,154596559,216435750,303010299]</v>
      </c>
      <c r="C29" s="2"/>
      <c r="D29" s="10">
        <v>4345</v>
      </c>
      <c r="E29" s="10">
        <v>5270</v>
      </c>
      <c r="F29" s="10">
        <v>5895</v>
      </c>
      <c r="G29" s="10">
        <v>7349</v>
      </c>
      <c r="H29" s="10">
        <v>8571</v>
      </c>
      <c r="I29" s="10">
        <v>12422</v>
      </c>
      <c r="J29" s="10">
        <v>14847</v>
      </c>
      <c r="K29" s="10">
        <v>17680</v>
      </c>
      <c r="L29" s="10">
        <v>21400</v>
      </c>
      <c r="M29" s="10">
        <v>25491</v>
      </c>
      <c r="N29" s="10">
        <v>41021</v>
      </c>
      <c r="O29" s="10">
        <v>49217</v>
      </c>
      <c r="P29" s="10">
        <v>59136</v>
      </c>
      <c r="Q29" s="10">
        <v>70852</v>
      </c>
      <c r="R29" s="10">
        <v>85420</v>
      </c>
      <c r="S29" s="10">
        <v>453736</v>
      </c>
      <c r="T29" s="10">
        <v>544027</v>
      </c>
      <c r="U29" s="10">
        <v>653461</v>
      </c>
      <c r="V29" s="10">
        <v>784470</v>
      </c>
      <c r="W29" s="10">
        <v>941051</v>
      </c>
      <c r="X29" s="10">
        <v>971927</v>
      </c>
      <c r="Y29" s="10">
        <v>1360776</v>
      </c>
      <c r="Z29" s="10">
        <v>1904870</v>
      </c>
      <c r="AA29" s="10">
        <v>2667380</v>
      </c>
      <c r="AB29" s="10">
        <v>3733994</v>
      </c>
      <c r="AC29" s="10">
        <v>25095346</v>
      </c>
      <c r="AD29" s="10">
        <v>30113649</v>
      </c>
      <c r="AE29" s="10">
        <v>36136427</v>
      </c>
      <c r="AF29" s="10">
        <v>43363856</v>
      </c>
      <c r="AG29" s="10">
        <v>52036467</v>
      </c>
      <c r="AH29" s="10">
        <v>78875813</v>
      </c>
      <c r="AI29" s="10">
        <v>110426327</v>
      </c>
      <c r="AJ29" s="10">
        <v>154596559</v>
      </c>
      <c r="AK29" s="10">
        <v>216435750</v>
      </c>
      <c r="AL29" s="10">
        <v>303010299</v>
      </c>
    </row>
    <row r="30" spans="1:38" ht="16.5" customHeight="1">
      <c r="A30" s="2">
        <v>29</v>
      </c>
      <c r="B30" s="23" t="str">
        <f t="shared" si="0"/>
        <v>[5040,6113,6838,8525,9942,13913,16629,19802,23968,28550,45944,55123,66232,79354,95670,503647,603870,725342,870762,1044567,1078839,1510461,2114406,2960792,4144733,27228450,32673309,39208023,47049784,56459567,87157773,122021091,170829198,239161504,334826380]</v>
      </c>
      <c r="C30" s="2"/>
      <c r="D30" s="10">
        <v>5040</v>
      </c>
      <c r="E30" s="10">
        <v>6113</v>
      </c>
      <c r="F30" s="10">
        <v>6838</v>
      </c>
      <c r="G30" s="10">
        <v>8525</v>
      </c>
      <c r="H30" s="10">
        <v>9942</v>
      </c>
      <c r="I30" s="10">
        <v>13913</v>
      </c>
      <c r="J30" s="10">
        <v>16629</v>
      </c>
      <c r="K30" s="10">
        <v>19802</v>
      </c>
      <c r="L30" s="10">
        <v>23968</v>
      </c>
      <c r="M30" s="10">
        <v>28550</v>
      </c>
      <c r="N30" s="10">
        <v>45944</v>
      </c>
      <c r="O30" s="10">
        <v>55123</v>
      </c>
      <c r="P30" s="10">
        <v>66232</v>
      </c>
      <c r="Q30" s="10">
        <v>79354</v>
      </c>
      <c r="R30" s="10">
        <v>95670</v>
      </c>
      <c r="S30" s="10">
        <v>503647</v>
      </c>
      <c r="T30" s="10">
        <v>603870</v>
      </c>
      <c r="U30" s="10">
        <v>725342</v>
      </c>
      <c r="V30" s="10">
        <v>870762</v>
      </c>
      <c r="W30" s="10">
        <v>1044567</v>
      </c>
      <c r="X30" s="10">
        <v>1078839</v>
      </c>
      <c r="Y30" s="10">
        <v>1510461</v>
      </c>
      <c r="Z30" s="10">
        <v>2114406</v>
      </c>
      <c r="AA30" s="10">
        <v>2960792</v>
      </c>
      <c r="AB30" s="10">
        <v>4144733</v>
      </c>
      <c r="AC30" s="10">
        <v>27228450</v>
      </c>
      <c r="AD30" s="10">
        <v>32673309</v>
      </c>
      <c r="AE30" s="10">
        <v>39208023</v>
      </c>
      <c r="AF30" s="10">
        <v>47049784</v>
      </c>
      <c r="AG30" s="10">
        <v>56459567</v>
      </c>
      <c r="AH30" s="10">
        <v>87157773</v>
      </c>
      <c r="AI30" s="10">
        <v>122021091</v>
      </c>
      <c r="AJ30" s="10">
        <v>170829198</v>
      </c>
      <c r="AK30" s="10">
        <v>239161504</v>
      </c>
      <c r="AL30" s="10">
        <v>334826380</v>
      </c>
    </row>
    <row r="31" spans="1:38" ht="16.5" customHeight="1">
      <c r="A31" s="2">
        <v>30</v>
      </c>
      <c r="B31" s="23" t="str">
        <f t="shared" si="0"/>
        <v>[5846,7091,7932,9889,11533,15583,18624,22178,26844,31976,51457,61738,74180,88876,107150,559048,670296,805130,966546,1159469,1197511,1676612,2346991,3286479,4600654,29542868,35450540,42540705,51049016,61258630,96309339,134833306,188766264,264273462,369983150]</v>
      </c>
      <c r="C31" s="2"/>
      <c r="D31" s="10">
        <v>5846</v>
      </c>
      <c r="E31" s="10">
        <v>7091</v>
      </c>
      <c r="F31" s="10">
        <v>7932</v>
      </c>
      <c r="G31" s="10">
        <v>9889</v>
      </c>
      <c r="H31" s="10">
        <v>11533</v>
      </c>
      <c r="I31" s="10">
        <v>15583</v>
      </c>
      <c r="J31" s="10">
        <v>18624</v>
      </c>
      <c r="K31" s="10">
        <v>22178</v>
      </c>
      <c r="L31" s="10">
        <v>26844</v>
      </c>
      <c r="M31" s="10">
        <v>31976</v>
      </c>
      <c r="N31" s="10">
        <v>51457</v>
      </c>
      <c r="O31" s="10">
        <v>61738</v>
      </c>
      <c r="P31" s="10">
        <v>74180</v>
      </c>
      <c r="Q31" s="10">
        <v>88876</v>
      </c>
      <c r="R31" s="10">
        <v>107150</v>
      </c>
      <c r="S31" s="10">
        <v>559048</v>
      </c>
      <c r="T31" s="10">
        <v>670296</v>
      </c>
      <c r="U31" s="10">
        <v>805130</v>
      </c>
      <c r="V31" s="10">
        <v>966546</v>
      </c>
      <c r="W31" s="10">
        <v>1159469</v>
      </c>
      <c r="X31" s="10">
        <v>1197511</v>
      </c>
      <c r="Y31" s="10">
        <v>1676612</v>
      </c>
      <c r="Z31" s="10">
        <v>2346991</v>
      </c>
      <c r="AA31" s="10">
        <v>3286479</v>
      </c>
      <c r="AB31" s="10">
        <v>4600654</v>
      </c>
      <c r="AC31" s="10">
        <v>29542868</v>
      </c>
      <c r="AD31" s="10">
        <v>35450540</v>
      </c>
      <c r="AE31" s="10">
        <v>42540705</v>
      </c>
      <c r="AF31" s="10">
        <v>51049016</v>
      </c>
      <c r="AG31" s="10">
        <v>61258630</v>
      </c>
      <c r="AH31" s="10">
        <v>96309339</v>
      </c>
      <c r="AI31" s="10">
        <v>134833306</v>
      </c>
      <c r="AJ31" s="10">
        <v>188766264</v>
      </c>
      <c r="AK31" s="10">
        <v>264273462</v>
      </c>
      <c r="AL31" s="10">
        <v>369983150</v>
      </c>
    </row>
    <row r="32" spans="1:38" ht="16.5" customHeight="1">
      <c r="A32" s="2">
        <v>31</v>
      </c>
      <c r="B32" s="23" t="str">
        <f t="shared" si="0"/>
        <v>[6781,8226,9201,11471,13378,17453,20859,24839,30065,35813,57632,69147,83082,99541,120008,620543,744029,893694,1072866,1287011,1329237,1861039,2605160,3647992,5106726,32054012,38463836,46156665,55388182,66465614,106421820,148990803,208586722,292022176,408831381]</v>
      </c>
      <c r="C32" s="2"/>
      <c r="D32" s="10">
        <v>6781</v>
      </c>
      <c r="E32" s="10">
        <v>8226</v>
      </c>
      <c r="F32" s="10">
        <v>9201</v>
      </c>
      <c r="G32" s="10">
        <v>11471</v>
      </c>
      <c r="H32" s="10">
        <v>13378</v>
      </c>
      <c r="I32" s="10">
        <v>17453</v>
      </c>
      <c r="J32" s="10">
        <v>20859</v>
      </c>
      <c r="K32" s="10">
        <v>24839</v>
      </c>
      <c r="L32" s="10">
        <v>30065</v>
      </c>
      <c r="M32" s="10">
        <v>35813</v>
      </c>
      <c r="N32" s="10">
        <v>57632</v>
      </c>
      <c r="O32" s="10">
        <v>69147</v>
      </c>
      <c r="P32" s="10">
        <v>83082</v>
      </c>
      <c r="Q32" s="10">
        <v>99541</v>
      </c>
      <c r="R32" s="10">
        <v>120008</v>
      </c>
      <c r="S32" s="10">
        <v>620543</v>
      </c>
      <c r="T32" s="10">
        <v>744029</v>
      </c>
      <c r="U32" s="10">
        <v>893694</v>
      </c>
      <c r="V32" s="10">
        <v>1072866</v>
      </c>
      <c r="W32" s="10">
        <v>1287011</v>
      </c>
      <c r="X32" s="10">
        <v>1329237</v>
      </c>
      <c r="Y32" s="10">
        <v>1861039</v>
      </c>
      <c r="Z32" s="10">
        <v>2605160</v>
      </c>
      <c r="AA32" s="10">
        <v>3647992</v>
      </c>
      <c r="AB32" s="10">
        <v>5106726</v>
      </c>
      <c r="AC32" s="10">
        <v>32054012</v>
      </c>
      <c r="AD32" s="10">
        <v>38463836</v>
      </c>
      <c r="AE32" s="10">
        <v>46156665</v>
      </c>
      <c r="AF32" s="10">
        <v>55388182</v>
      </c>
      <c r="AG32" s="10">
        <v>66465614</v>
      </c>
      <c r="AH32" s="10">
        <v>106421820</v>
      </c>
      <c r="AI32" s="10">
        <v>148990803</v>
      </c>
      <c r="AJ32" s="10">
        <v>208586722</v>
      </c>
      <c r="AK32" s="10">
        <v>292022176</v>
      </c>
      <c r="AL32" s="10">
        <v>408831381</v>
      </c>
    </row>
    <row r="33" spans="1:38" ht="16.5" customHeight="1">
      <c r="A33" s="2">
        <v>32</v>
      </c>
      <c r="B33" s="23" t="str">
        <f t="shared" si="0"/>
        <v>[7866,9542,10673,13306,15518,19547,23362,27820,33673,40111,64548,77445,93052,111486,134409,688803,825872,992000,1190881,1428582,1475453,2065753,2891728,4049271,5668466,34778603,41733262,50079982,60096177,72115191,117596111,164634837,230488328,322684504,451758676]</v>
      </c>
      <c r="C33" s="2"/>
      <c r="D33" s="10">
        <v>7866</v>
      </c>
      <c r="E33" s="10">
        <v>9542</v>
      </c>
      <c r="F33" s="10">
        <v>10673</v>
      </c>
      <c r="G33" s="10">
        <v>13306</v>
      </c>
      <c r="H33" s="10">
        <v>15518</v>
      </c>
      <c r="I33" s="10">
        <v>19547</v>
      </c>
      <c r="J33" s="10">
        <v>23362</v>
      </c>
      <c r="K33" s="10">
        <v>27820</v>
      </c>
      <c r="L33" s="10">
        <v>33673</v>
      </c>
      <c r="M33" s="10">
        <v>40111</v>
      </c>
      <c r="N33" s="10">
        <v>64548</v>
      </c>
      <c r="O33" s="10">
        <v>77445</v>
      </c>
      <c r="P33" s="10">
        <v>93052</v>
      </c>
      <c r="Q33" s="10">
        <v>111486</v>
      </c>
      <c r="R33" s="10">
        <v>134409</v>
      </c>
      <c r="S33" s="10">
        <v>688803</v>
      </c>
      <c r="T33" s="10">
        <v>825872</v>
      </c>
      <c r="U33" s="10">
        <v>992000</v>
      </c>
      <c r="V33" s="10">
        <v>1190881</v>
      </c>
      <c r="W33" s="10">
        <v>1428582</v>
      </c>
      <c r="X33" s="10">
        <v>1475453</v>
      </c>
      <c r="Y33" s="10">
        <v>2065753</v>
      </c>
      <c r="Z33" s="10">
        <v>2891728</v>
      </c>
      <c r="AA33" s="10">
        <v>4049271</v>
      </c>
      <c r="AB33" s="10">
        <v>5668466</v>
      </c>
      <c r="AC33" s="10">
        <v>34778603</v>
      </c>
      <c r="AD33" s="10">
        <v>41733262</v>
      </c>
      <c r="AE33" s="10">
        <v>50079982</v>
      </c>
      <c r="AF33" s="10">
        <v>60096177</v>
      </c>
      <c r="AG33" s="10">
        <v>72115191</v>
      </c>
      <c r="AH33" s="10">
        <v>117596111</v>
      </c>
      <c r="AI33" s="10">
        <v>164634837</v>
      </c>
      <c r="AJ33" s="10">
        <v>230488328</v>
      </c>
      <c r="AK33" s="10">
        <v>322684504</v>
      </c>
      <c r="AL33" s="10">
        <v>451758676</v>
      </c>
    </row>
    <row r="34" spans="1:38" ht="16.5" customHeight="1">
      <c r="A34" s="2">
        <v>33</v>
      </c>
      <c r="B34" s="23" t="str">
        <f t="shared" si="0"/>
        <v>[9125,11069,12381,15435,18001,21893,26165,31158,37714,44924,72294,86738,104218,124864,150538,764571,916718,1101120,1321878,1585726,1637753,2292986,3209818,4494691,6291997,37734784,45280589,54336780,65204352,78244982,129943703,181921495,254689602,356566377,499193337]</v>
      </c>
      <c r="C34" s="2"/>
      <c r="D34" s="10">
        <v>9125</v>
      </c>
      <c r="E34" s="10">
        <v>11069</v>
      </c>
      <c r="F34" s="10">
        <v>12381</v>
      </c>
      <c r="G34" s="10">
        <v>15435</v>
      </c>
      <c r="H34" s="10">
        <v>18001</v>
      </c>
      <c r="I34" s="10">
        <v>21893</v>
      </c>
      <c r="J34" s="10">
        <v>26165</v>
      </c>
      <c r="K34" s="10">
        <v>31158</v>
      </c>
      <c r="L34" s="10">
        <v>37714</v>
      </c>
      <c r="M34" s="10">
        <v>44924</v>
      </c>
      <c r="N34" s="10">
        <v>72294</v>
      </c>
      <c r="O34" s="10">
        <v>86738</v>
      </c>
      <c r="P34" s="10">
        <v>104218</v>
      </c>
      <c r="Q34" s="10">
        <v>124864</v>
      </c>
      <c r="R34" s="10">
        <v>150538</v>
      </c>
      <c r="S34" s="10">
        <v>764571</v>
      </c>
      <c r="T34" s="10">
        <v>916718</v>
      </c>
      <c r="U34" s="10">
        <v>1101120</v>
      </c>
      <c r="V34" s="10">
        <v>1321878</v>
      </c>
      <c r="W34" s="10">
        <v>1585726</v>
      </c>
      <c r="X34" s="10">
        <v>1637753</v>
      </c>
      <c r="Y34" s="10">
        <v>2292986</v>
      </c>
      <c r="Z34" s="10">
        <v>3209818</v>
      </c>
      <c r="AA34" s="10">
        <v>4494691</v>
      </c>
      <c r="AB34" s="10">
        <v>6291997</v>
      </c>
      <c r="AC34" s="10">
        <v>37734784</v>
      </c>
      <c r="AD34" s="10">
        <v>45280589</v>
      </c>
      <c r="AE34" s="10">
        <v>54336780</v>
      </c>
      <c r="AF34" s="10">
        <v>65204352</v>
      </c>
      <c r="AG34" s="10">
        <v>78244982</v>
      </c>
      <c r="AH34" s="10">
        <v>129943703</v>
      </c>
      <c r="AI34" s="10">
        <v>181921495</v>
      </c>
      <c r="AJ34" s="10">
        <v>254689602</v>
      </c>
      <c r="AK34" s="10">
        <v>356566377</v>
      </c>
      <c r="AL34" s="10">
        <v>499193337</v>
      </c>
    </row>
    <row r="35" spans="1:38" ht="16.5" customHeight="1">
      <c r="A35" s="2">
        <v>34</v>
      </c>
      <c r="B35" s="23" t="str">
        <f t="shared" si="0"/>
        <v>[10585,12840,14362,17905,20881,24520,29305,34897,42240,50315,80969,97147,116724,139848,168603,848674,1017557,1222243,1467285,1760156,1817906,2545214,3562898,4989107,6984117,40942241,49129439,58955406,70746722,84895805,143587792,201023252,281432010,394005847,551608637]</v>
      </c>
      <c r="C35" s="2"/>
      <c r="D35" s="10">
        <v>10585</v>
      </c>
      <c r="E35" s="10">
        <v>12840</v>
      </c>
      <c r="F35" s="10">
        <v>14362</v>
      </c>
      <c r="G35" s="10">
        <v>17905</v>
      </c>
      <c r="H35" s="10">
        <v>20881</v>
      </c>
      <c r="I35" s="10">
        <v>24520</v>
      </c>
      <c r="J35" s="10">
        <v>29305</v>
      </c>
      <c r="K35" s="10">
        <v>34897</v>
      </c>
      <c r="L35" s="10">
        <v>42240</v>
      </c>
      <c r="M35" s="10">
        <v>50315</v>
      </c>
      <c r="N35" s="10">
        <v>80969</v>
      </c>
      <c r="O35" s="10">
        <v>97147</v>
      </c>
      <c r="P35" s="10">
        <v>116724</v>
      </c>
      <c r="Q35" s="10">
        <v>139848</v>
      </c>
      <c r="R35" s="10">
        <v>168603</v>
      </c>
      <c r="S35" s="10">
        <v>848674</v>
      </c>
      <c r="T35" s="10">
        <v>1017557</v>
      </c>
      <c r="U35" s="10">
        <v>1222243</v>
      </c>
      <c r="V35" s="10">
        <v>1467285</v>
      </c>
      <c r="W35" s="10">
        <v>1760156</v>
      </c>
      <c r="X35" s="10">
        <v>1817906</v>
      </c>
      <c r="Y35" s="10">
        <v>2545214</v>
      </c>
      <c r="Z35" s="10">
        <v>3562898</v>
      </c>
      <c r="AA35" s="10">
        <v>4989107</v>
      </c>
      <c r="AB35" s="10">
        <v>6984117</v>
      </c>
      <c r="AC35" s="10">
        <v>40942241</v>
      </c>
      <c r="AD35" s="10">
        <v>49129439</v>
      </c>
      <c r="AE35" s="10">
        <v>58955406</v>
      </c>
      <c r="AF35" s="10">
        <v>70746722</v>
      </c>
      <c r="AG35" s="10">
        <v>84895805</v>
      </c>
      <c r="AH35" s="10">
        <v>143587792</v>
      </c>
      <c r="AI35" s="10">
        <v>201023252</v>
      </c>
      <c r="AJ35" s="10">
        <v>281432010</v>
      </c>
      <c r="AK35" s="10">
        <v>394005847</v>
      </c>
      <c r="AL35" s="10">
        <v>551608637</v>
      </c>
    </row>
    <row r="36" spans="1:38" ht="16.5" customHeight="1">
      <c r="A36" s="2">
        <v>35</v>
      </c>
      <c r="B36" s="23" t="str">
        <f t="shared" ref="B36:B66" si="1">"[" &amp; $D36 &amp; "," &amp; $E36 &amp; "," &amp; $F36 &amp; "," &amp; $G36 &amp; "," &amp; $H36 &amp; "," &amp; $I36 &amp; "," &amp; $J36 &amp; "," &amp; $K36 &amp; "," &amp; $L36 &amp; "," &amp; $M36 &amp; "," &amp; $N36 &amp; "," &amp; $O36 &amp; "," &amp; $P36 &amp; "," &amp; $Q36 &amp; "," &amp; $R36 &amp; "," &amp; $S36 &amp; "," &amp; $T36 &amp; "," &amp; $U36 &amp; "," &amp; $V36 &amp; "," &amp; $W36 &amp; "," &amp; $X36 &amp; "," &amp; $Y36 &amp; "," &amp; $Z36 &amp; "," &amp; $AA36 &amp; "," &amp; $AB36 &amp; "," &amp; $AC36 &amp; "," &amp; $AD36 &amp; "," &amp; $AE36 &amp; "," &amp; $AF36 &amp; "," &amp; $AG36 &amp; "," &amp; $AH36 &amp; "," &amp; $AI36 &amp; "," &amp; $AJ36 &amp; "," &amp; $AK36 &amp; "," &amp; $AL36 &amp; "]"</f>
        <v>[12279,14894,16660,20770,24222,27462,32822,39085,47309,56353,90685,108805,130731,156630,188835,942028,1129488,1356690,1628686,1953773,2017876,2825188,3954817,5537909,7752370,44422331,53305441,63966616,76760193,92111948,158664510,222130693,310982371,435376461,609527544]</v>
      </c>
      <c r="C36" s="2"/>
      <c r="D36" s="10">
        <v>12279</v>
      </c>
      <c r="E36" s="10">
        <v>14894</v>
      </c>
      <c r="F36" s="10">
        <v>16660</v>
      </c>
      <c r="G36" s="10">
        <v>20770</v>
      </c>
      <c r="H36" s="10">
        <v>24222</v>
      </c>
      <c r="I36" s="10">
        <v>27462</v>
      </c>
      <c r="J36" s="10">
        <v>32822</v>
      </c>
      <c r="K36" s="10">
        <v>39085</v>
      </c>
      <c r="L36" s="10">
        <v>47309</v>
      </c>
      <c r="M36" s="10">
        <v>56353</v>
      </c>
      <c r="N36" s="10">
        <v>90685</v>
      </c>
      <c r="O36" s="10">
        <v>108805</v>
      </c>
      <c r="P36" s="10">
        <v>130731</v>
      </c>
      <c r="Q36" s="10">
        <v>156630</v>
      </c>
      <c r="R36" s="10">
        <v>188835</v>
      </c>
      <c r="S36" s="10">
        <v>942028</v>
      </c>
      <c r="T36" s="10">
        <v>1129488</v>
      </c>
      <c r="U36" s="10">
        <v>1356690</v>
      </c>
      <c r="V36" s="10">
        <v>1628686</v>
      </c>
      <c r="W36" s="10">
        <v>1953773</v>
      </c>
      <c r="X36" s="10">
        <v>2017876</v>
      </c>
      <c r="Y36" s="10">
        <v>2825188</v>
      </c>
      <c r="Z36" s="10">
        <v>3954817</v>
      </c>
      <c r="AA36" s="10">
        <v>5537909</v>
      </c>
      <c r="AB36" s="10">
        <v>7752370</v>
      </c>
      <c r="AC36" s="10">
        <v>44422331</v>
      </c>
      <c r="AD36" s="10">
        <v>53305441</v>
      </c>
      <c r="AE36" s="10">
        <v>63966616</v>
      </c>
      <c r="AF36" s="10">
        <v>76760193</v>
      </c>
      <c r="AG36" s="10">
        <v>92111948</v>
      </c>
      <c r="AH36" s="10">
        <v>158664510</v>
      </c>
      <c r="AI36" s="10">
        <v>222130693</v>
      </c>
      <c r="AJ36" s="10">
        <v>310982371</v>
      </c>
      <c r="AK36" s="10">
        <v>435376461</v>
      </c>
      <c r="AL36" s="10">
        <v>609527544</v>
      </c>
    </row>
    <row r="37" spans="1:38" ht="16.5" customHeight="1">
      <c r="A37" s="2">
        <v>36</v>
      </c>
      <c r="B37" s="23" t="str">
        <f t="shared" si="1"/>
        <v>[14244,17277,19326,24093,28098,30757,36761,43775,52986,63115,101567,121862,146419,175426,211495,1045651,1253732,1505926,1807841,2168688,2239842,3135959,4389847,6147079,8605131,48198229,57836403,69403778,83284809,99941464,175324284,245454416,343635520,481090989,673527936]</v>
      </c>
      <c r="C37" s="2"/>
      <c r="D37" s="10">
        <v>14244</v>
      </c>
      <c r="E37" s="10">
        <v>17277</v>
      </c>
      <c r="F37" s="10">
        <v>19326</v>
      </c>
      <c r="G37" s="10">
        <v>24093</v>
      </c>
      <c r="H37" s="10">
        <v>28098</v>
      </c>
      <c r="I37" s="10">
        <v>30757</v>
      </c>
      <c r="J37" s="10">
        <v>36761</v>
      </c>
      <c r="K37" s="10">
        <v>43775</v>
      </c>
      <c r="L37" s="10">
        <v>52986</v>
      </c>
      <c r="M37" s="10">
        <v>63115</v>
      </c>
      <c r="N37" s="10">
        <v>101567</v>
      </c>
      <c r="O37" s="10">
        <v>121862</v>
      </c>
      <c r="P37" s="10">
        <v>146419</v>
      </c>
      <c r="Q37" s="10">
        <v>175426</v>
      </c>
      <c r="R37" s="10">
        <v>211495</v>
      </c>
      <c r="S37" s="10">
        <v>1045651</v>
      </c>
      <c r="T37" s="10">
        <v>1253732</v>
      </c>
      <c r="U37" s="10">
        <v>1505926</v>
      </c>
      <c r="V37" s="10">
        <v>1807841</v>
      </c>
      <c r="W37" s="10">
        <v>2168688</v>
      </c>
      <c r="X37" s="10">
        <v>2239842</v>
      </c>
      <c r="Y37" s="10">
        <v>3135959</v>
      </c>
      <c r="Z37" s="10">
        <v>4389847</v>
      </c>
      <c r="AA37" s="10">
        <v>6147079</v>
      </c>
      <c r="AB37" s="10">
        <v>8605131</v>
      </c>
      <c r="AC37" s="10">
        <v>48198229</v>
      </c>
      <c r="AD37" s="10">
        <v>57836403</v>
      </c>
      <c r="AE37" s="10">
        <v>69403778</v>
      </c>
      <c r="AF37" s="10">
        <v>83284809</v>
      </c>
      <c r="AG37" s="10">
        <v>99941464</v>
      </c>
      <c r="AH37" s="10">
        <v>175324284</v>
      </c>
      <c r="AI37" s="10">
        <v>245454416</v>
      </c>
      <c r="AJ37" s="10">
        <v>343635520</v>
      </c>
      <c r="AK37" s="10">
        <v>481090989</v>
      </c>
      <c r="AL37" s="10">
        <v>673527936</v>
      </c>
    </row>
    <row r="38" spans="1:38" ht="16.5" customHeight="1">
      <c r="A38" s="2">
        <v>37</v>
      </c>
      <c r="B38" s="23" t="str">
        <f t="shared" si="1"/>
        <v>[16523,20041,22418,27948,32594,34448,41172,49028,59344,70689,113755,136485,163989,196477,236874,1160673,1391643,1671578,2006704,2407244,2486225,3480914,4872730,6823258,9551695,52295078,62752497,75303099,90364018,108436488,193733334,271227130,379717250,531605543,744248369]</v>
      </c>
      <c r="C38" s="2"/>
      <c r="D38" s="10">
        <v>16523</v>
      </c>
      <c r="E38" s="10">
        <v>20041</v>
      </c>
      <c r="F38" s="10">
        <v>22418</v>
      </c>
      <c r="G38" s="10">
        <v>27948</v>
      </c>
      <c r="H38" s="10">
        <v>32594</v>
      </c>
      <c r="I38" s="10">
        <v>34448</v>
      </c>
      <c r="J38" s="10">
        <v>41172</v>
      </c>
      <c r="K38" s="10">
        <v>49028</v>
      </c>
      <c r="L38" s="10">
        <v>59344</v>
      </c>
      <c r="M38" s="10">
        <v>70689</v>
      </c>
      <c r="N38" s="10">
        <v>113755</v>
      </c>
      <c r="O38" s="10">
        <v>136485</v>
      </c>
      <c r="P38" s="10">
        <v>163989</v>
      </c>
      <c r="Q38" s="10">
        <v>196477</v>
      </c>
      <c r="R38" s="10">
        <v>236874</v>
      </c>
      <c r="S38" s="10">
        <v>1160673</v>
      </c>
      <c r="T38" s="10">
        <v>1391643</v>
      </c>
      <c r="U38" s="10">
        <v>1671578</v>
      </c>
      <c r="V38" s="10">
        <v>2006704</v>
      </c>
      <c r="W38" s="10">
        <v>2407244</v>
      </c>
      <c r="X38" s="10">
        <v>2486225</v>
      </c>
      <c r="Y38" s="10">
        <v>3480914</v>
      </c>
      <c r="Z38" s="10">
        <v>4872730</v>
      </c>
      <c r="AA38" s="10">
        <v>6823258</v>
      </c>
      <c r="AB38" s="10">
        <v>9551695</v>
      </c>
      <c r="AC38" s="10">
        <v>52295078</v>
      </c>
      <c r="AD38" s="10">
        <v>62752497</v>
      </c>
      <c r="AE38" s="10">
        <v>75303099</v>
      </c>
      <c r="AF38" s="10">
        <v>90364018</v>
      </c>
      <c r="AG38" s="10">
        <v>108436488</v>
      </c>
      <c r="AH38" s="10">
        <v>193733334</v>
      </c>
      <c r="AI38" s="10">
        <v>271227130</v>
      </c>
      <c r="AJ38" s="10">
        <v>379717250</v>
      </c>
      <c r="AK38" s="10">
        <v>531605543</v>
      </c>
      <c r="AL38" s="10">
        <v>744248369</v>
      </c>
    </row>
    <row r="39" spans="1:38" ht="16.5" customHeight="1">
      <c r="A39" s="2">
        <v>38</v>
      </c>
      <c r="B39" s="23" t="str">
        <f t="shared" si="1"/>
        <v>[19167,23248,26005,32420,37809,38582,46113,54911,66465,79172,127406,152863,183668,220054,265299,1288347,1544724,1855452,2227441,2672041,2759710,3863815,5408730,7573816,10602381,56740160,68086459,81703862,98044960,117653589,214075334,299705979,419587561,587424125,822394448]</v>
      </c>
      <c r="C39" s="2"/>
      <c r="D39" s="10">
        <v>19167</v>
      </c>
      <c r="E39" s="10">
        <v>23248</v>
      </c>
      <c r="F39" s="10">
        <v>26005</v>
      </c>
      <c r="G39" s="10">
        <v>32420</v>
      </c>
      <c r="H39" s="10">
        <v>37809</v>
      </c>
      <c r="I39" s="10">
        <v>38582</v>
      </c>
      <c r="J39" s="10">
        <v>46113</v>
      </c>
      <c r="K39" s="10">
        <v>54911</v>
      </c>
      <c r="L39" s="10">
        <v>66465</v>
      </c>
      <c r="M39" s="10">
        <v>79172</v>
      </c>
      <c r="N39" s="10">
        <v>127406</v>
      </c>
      <c r="O39" s="10">
        <v>152863</v>
      </c>
      <c r="P39" s="10">
        <v>183668</v>
      </c>
      <c r="Q39" s="10">
        <v>220054</v>
      </c>
      <c r="R39" s="10">
        <v>265299</v>
      </c>
      <c r="S39" s="10">
        <v>1288347</v>
      </c>
      <c r="T39" s="10">
        <v>1544724</v>
      </c>
      <c r="U39" s="10">
        <v>1855452</v>
      </c>
      <c r="V39" s="10">
        <v>2227441</v>
      </c>
      <c r="W39" s="10">
        <v>2672041</v>
      </c>
      <c r="X39" s="10">
        <v>2759710</v>
      </c>
      <c r="Y39" s="10">
        <v>3863815</v>
      </c>
      <c r="Z39" s="10">
        <v>5408730</v>
      </c>
      <c r="AA39" s="10">
        <v>7573816</v>
      </c>
      <c r="AB39" s="10">
        <v>10602381</v>
      </c>
      <c r="AC39" s="10">
        <v>56740160</v>
      </c>
      <c r="AD39" s="10">
        <v>68086459</v>
      </c>
      <c r="AE39" s="10">
        <v>81703862</v>
      </c>
      <c r="AF39" s="10">
        <v>98044960</v>
      </c>
      <c r="AG39" s="10">
        <v>117653589</v>
      </c>
      <c r="AH39" s="10">
        <v>214075334</v>
      </c>
      <c r="AI39" s="10">
        <v>299705979</v>
      </c>
      <c r="AJ39" s="10">
        <v>419587561</v>
      </c>
      <c r="AK39" s="10">
        <v>587424125</v>
      </c>
      <c r="AL39" s="10">
        <v>822394448</v>
      </c>
    </row>
    <row r="40" spans="1:38" ht="16.5" customHeight="1">
      <c r="A40" s="2">
        <v>39</v>
      </c>
      <c r="B40" s="23" t="str">
        <f t="shared" si="1"/>
        <v>[22234,26968,30166,37607,43858,43212,51647,61500,74441,88673,142695,171207,205708,246460,297135,1430065,1714644,2059552,2472460,2965966,3063278,4288835,6003690,8406936,11768643,61563074,73873808,88648690,106378782,127654144,236553244,331175107,463644255,649103658,908745865]</v>
      </c>
      <c r="C40" s="2"/>
      <c r="D40" s="10">
        <v>22234</v>
      </c>
      <c r="E40" s="10">
        <v>26968</v>
      </c>
      <c r="F40" s="10">
        <v>30166</v>
      </c>
      <c r="G40" s="10">
        <v>37607</v>
      </c>
      <c r="H40" s="10">
        <v>43858</v>
      </c>
      <c r="I40" s="10">
        <v>43212</v>
      </c>
      <c r="J40" s="10">
        <v>51647</v>
      </c>
      <c r="K40" s="10">
        <v>61500</v>
      </c>
      <c r="L40" s="10">
        <v>74441</v>
      </c>
      <c r="M40" s="10">
        <v>88673</v>
      </c>
      <c r="N40" s="10">
        <v>142695</v>
      </c>
      <c r="O40" s="10">
        <v>171207</v>
      </c>
      <c r="P40" s="10">
        <v>205708</v>
      </c>
      <c r="Q40" s="10">
        <v>246460</v>
      </c>
      <c r="R40" s="10">
        <v>297135</v>
      </c>
      <c r="S40" s="10">
        <v>1430065</v>
      </c>
      <c r="T40" s="10">
        <v>1714644</v>
      </c>
      <c r="U40" s="10">
        <v>2059552</v>
      </c>
      <c r="V40" s="10">
        <v>2472460</v>
      </c>
      <c r="W40" s="10">
        <v>2965966</v>
      </c>
      <c r="X40" s="10">
        <v>3063278</v>
      </c>
      <c r="Y40" s="10">
        <v>4288835</v>
      </c>
      <c r="Z40" s="10">
        <v>6003690</v>
      </c>
      <c r="AA40" s="10">
        <v>8406936</v>
      </c>
      <c r="AB40" s="10">
        <v>11768643</v>
      </c>
      <c r="AC40" s="10">
        <v>61563074</v>
      </c>
      <c r="AD40" s="10">
        <v>73873808</v>
      </c>
      <c r="AE40" s="10">
        <v>88648690</v>
      </c>
      <c r="AF40" s="10">
        <v>106378782</v>
      </c>
      <c r="AG40" s="10">
        <v>127654144</v>
      </c>
      <c r="AH40" s="10">
        <v>236553244</v>
      </c>
      <c r="AI40" s="10">
        <v>331175107</v>
      </c>
      <c r="AJ40" s="10">
        <v>463644255</v>
      </c>
      <c r="AK40" s="10">
        <v>649103658</v>
      </c>
      <c r="AL40" s="10">
        <v>908745865</v>
      </c>
    </row>
    <row r="41" spans="1:38" ht="16.5" customHeight="1">
      <c r="A41" s="2">
        <v>40</v>
      </c>
      <c r="B41" s="23" t="str">
        <f t="shared" si="1"/>
        <v>[24902,30204,33786,42120,49121,48397,57845,68880,83374,99314,159818,191752,230393,276035,332791,1601673,1920401,2306698,2769155,3321882,3430871,4803495,6724133,9415768,13180880,68950643,82738665,99286533,119144236,142972641,264939633,370916120,519281566,726996097,1017795369]</v>
      </c>
      <c r="C41" s="2"/>
      <c r="D41" s="10">
        <v>24902</v>
      </c>
      <c r="E41" s="10">
        <v>30204</v>
      </c>
      <c r="F41" s="10">
        <v>33786</v>
      </c>
      <c r="G41" s="10">
        <v>42120</v>
      </c>
      <c r="H41" s="10">
        <v>49121</v>
      </c>
      <c r="I41" s="10">
        <v>48397</v>
      </c>
      <c r="J41" s="10">
        <v>57845</v>
      </c>
      <c r="K41" s="10">
        <v>68880</v>
      </c>
      <c r="L41" s="10">
        <v>83374</v>
      </c>
      <c r="M41" s="10">
        <v>99314</v>
      </c>
      <c r="N41" s="10">
        <v>159818</v>
      </c>
      <c r="O41" s="10">
        <v>191752</v>
      </c>
      <c r="P41" s="10">
        <v>230393</v>
      </c>
      <c r="Q41" s="10">
        <v>276035</v>
      </c>
      <c r="R41" s="10">
        <v>332791</v>
      </c>
      <c r="S41" s="10">
        <v>1601673</v>
      </c>
      <c r="T41" s="10">
        <v>1920401</v>
      </c>
      <c r="U41" s="10">
        <v>2306698</v>
      </c>
      <c r="V41" s="10">
        <v>2769155</v>
      </c>
      <c r="W41" s="10">
        <v>3321882</v>
      </c>
      <c r="X41" s="10">
        <v>3430871</v>
      </c>
      <c r="Y41" s="10">
        <v>4803495</v>
      </c>
      <c r="Z41" s="10">
        <v>6724133</v>
      </c>
      <c r="AA41" s="10">
        <v>9415768</v>
      </c>
      <c r="AB41" s="10">
        <v>13180880</v>
      </c>
      <c r="AC41" s="10">
        <v>68950643</v>
      </c>
      <c r="AD41" s="10">
        <v>82738665</v>
      </c>
      <c r="AE41" s="10">
        <v>99286533</v>
      </c>
      <c r="AF41" s="10">
        <v>119144236</v>
      </c>
      <c r="AG41" s="10">
        <v>142972641</v>
      </c>
      <c r="AH41" s="10">
        <v>264939633</v>
      </c>
      <c r="AI41" s="10">
        <v>370916120</v>
      </c>
      <c r="AJ41" s="10">
        <v>519281566</v>
      </c>
      <c r="AK41" s="10">
        <v>726996097</v>
      </c>
      <c r="AL41" s="10">
        <v>1017795369</v>
      </c>
    </row>
    <row r="42" spans="1:38" ht="16.5" customHeight="1">
      <c r="A42" s="2">
        <v>41</v>
      </c>
      <c r="B42" s="23" t="str">
        <f t="shared" si="1"/>
        <v>[27890,33828,37840,47174,55016,54205,64786,77146,93379,111232,178996,214762,258040,309159,372726,1793874,2150849,2583502,3101454,3720508,3842576,5379914,7531029,10545660,14762586,77224720,92667305,111200917,133441544,160129358,296732389,415426054,581595354,814235629,1139930813]</v>
      </c>
      <c r="C42" s="2"/>
      <c r="D42" s="10">
        <v>27890</v>
      </c>
      <c r="E42" s="10">
        <v>33828</v>
      </c>
      <c r="F42" s="10">
        <v>37840</v>
      </c>
      <c r="G42" s="10">
        <v>47174</v>
      </c>
      <c r="H42" s="10">
        <v>55016</v>
      </c>
      <c r="I42" s="10">
        <v>54205</v>
      </c>
      <c r="J42" s="10">
        <v>64786</v>
      </c>
      <c r="K42" s="10">
        <v>77146</v>
      </c>
      <c r="L42" s="10">
        <v>93379</v>
      </c>
      <c r="M42" s="10">
        <v>111232</v>
      </c>
      <c r="N42" s="10">
        <v>178996</v>
      </c>
      <c r="O42" s="10">
        <v>214762</v>
      </c>
      <c r="P42" s="10">
        <v>258040</v>
      </c>
      <c r="Q42" s="10">
        <v>309159</v>
      </c>
      <c r="R42" s="10">
        <v>372726</v>
      </c>
      <c r="S42" s="10">
        <v>1793874</v>
      </c>
      <c r="T42" s="10">
        <v>2150849</v>
      </c>
      <c r="U42" s="10">
        <v>2583502</v>
      </c>
      <c r="V42" s="10">
        <v>3101454</v>
      </c>
      <c r="W42" s="10">
        <v>3720508</v>
      </c>
      <c r="X42" s="10">
        <v>3842576</v>
      </c>
      <c r="Y42" s="10">
        <v>5379914</v>
      </c>
      <c r="Z42" s="10">
        <v>7531029</v>
      </c>
      <c r="AA42" s="10">
        <v>10545660</v>
      </c>
      <c r="AB42" s="10">
        <v>14762586</v>
      </c>
      <c r="AC42" s="10">
        <v>77224720</v>
      </c>
      <c r="AD42" s="10">
        <v>92667305</v>
      </c>
      <c r="AE42" s="10">
        <v>111200917</v>
      </c>
      <c r="AF42" s="10">
        <v>133441544</v>
      </c>
      <c r="AG42" s="10">
        <v>160129358</v>
      </c>
      <c r="AH42" s="10">
        <v>296732389</v>
      </c>
      <c r="AI42" s="10">
        <v>415426054</v>
      </c>
      <c r="AJ42" s="10">
        <v>581595354</v>
      </c>
      <c r="AK42" s="10">
        <v>814235629</v>
      </c>
      <c r="AL42" s="10">
        <v>1139930813</v>
      </c>
    </row>
    <row r="43" spans="1:38" ht="16.5" customHeight="1">
      <c r="A43" s="2">
        <v>42</v>
      </c>
      <c r="B43" s="23" t="str">
        <f t="shared" si="1"/>
        <v>[31237,37887,42381,52835,61618,60710,72560,86404,104584,124580,200476,240533,289005,346258,417453,2009139,2408951,2893522,3473628,4166969,4303685,6025504,8434752,11811139,16534096,86491686,103787382,124545027,149454529,179344881,332340276,465277180,651386796,911943904,1276722511]</v>
      </c>
      <c r="C43" s="2"/>
      <c r="D43" s="10">
        <v>31237</v>
      </c>
      <c r="E43" s="10">
        <v>37887</v>
      </c>
      <c r="F43" s="10">
        <v>42381</v>
      </c>
      <c r="G43" s="10">
        <v>52835</v>
      </c>
      <c r="H43" s="10">
        <v>61618</v>
      </c>
      <c r="I43" s="10">
        <v>60710</v>
      </c>
      <c r="J43" s="10">
        <v>72560</v>
      </c>
      <c r="K43" s="10">
        <v>86404</v>
      </c>
      <c r="L43" s="10">
        <v>104584</v>
      </c>
      <c r="M43" s="10">
        <v>124580</v>
      </c>
      <c r="N43" s="10">
        <v>200476</v>
      </c>
      <c r="O43" s="10">
        <v>240533</v>
      </c>
      <c r="P43" s="10">
        <v>289005</v>
      </c>
      <c r="Q43" s="10">
        <v>346258</v>
      </c>
      <c r="R43" s="10">
        <v>417453</v>
      </c>
      <c r="S43" s="10">
        <v>2009139</v>
      </c>
      <c r="T43" s="10">
        <v>2408951</v>
      </c>
      <c r="U43" s="10">
        <v>2893522</v>
      </c>
      <c r="V43" s="10">
        <v>3473628</v>
      </c>
      <c r="W43" s="10">
        <v>4166969</v>
      </c>
      <c r="X43" s="10">
        <v>4303685</v>
      </c>
      <c r="Y43" s="10">
        <v>6025504</v>
      </c>
      <c r="Z43" s="10">
        <v>8434752</v>
      </c>
      <c r="AA43" s="10">
        <v>11811139</v>
      </c>
      <c r="AB43" s="10">
        <v>16534096</v>
      </c>
      <c r="AC43" s="10">
        <v>86491686</v>
      </c>
      <c r="AD43" s="10">
        <v>103787382</v>
      </c>
      <c r="AE43" s="10">
        <v>124545027</v>
      </c>
      <c r="AF43" s="10">
        <v>149454529</v>
      </c>
      <c r="AG43" s="10">
        <v>179344881</v>
      </c>
      <c r="AH43" s="10">
        <v>332340276</v>
      </c>
      <c r="AI43" s="10">
        <v>465277180</v>
      </c>
      <c r="AJ43" s="10">
        <v>651386796</v>
      </c>
      <c r="AK43" s="10">
        <v>911943904</v>
      </c>
      <c r="AL43" s="10">
        <v>1276722511</v>
      </c>
    </row>
    <row r="44" spans="1:38" ht="16.5" customHeight="1">
      <c r="A44" s="2">
        <v>43</v>
      </c>
      <c r="B44" s="23" t="str">
        <f t="shared" si="1"/>
        <v>[34985,42433,47467,59175,69012,67995,81267,96772,117134,139530,224533,269397,323686,387809,467547,2250236,2698025,3240745,3890463,4667005,4820127,6748564,9446922,13228476,18518188,96870688,116241868,139490430,167389072,200866267,372221109,521110442,729553212,1021377172,1429929212]</v>
      </c>
      <c r="C44" s="2"/>
      <c r="D44" s="10">
        <v>34985</v>
      </c>
      <c r="E44" s="10">
        <v>42433</v>
      </c>
      <c r="F44" s="10">
        <v>47467</v>
      </c>
      <c r="G44" s="10">
        <v>59175</v>
      </c>
      <c r="H44" s="10">
        <v>69012</v>
      </c>
      <c r="I44" s="10">
        <v>67995</v>
      </c>
      <c r="J44" s="10">
        <v>81267</v>
      </c>
      <c r="K44" s="10">
        <v>96772</v>
      </c>
      <c r="L44" s="10">
        <v>117134</v>
      </c>
      <c r="M44" s="10">
        <v>139530</v>
      </c>
      <c r="N44" s="10">
        <v>224533</v>
      </c>
      <c r="O44" s="10">
        <v>269397</v>
      </c>
      <c r="P44" s="10">
        <v>323686</v>
      </c>
      <c r="Q44" s="10">
        <v>387809</v>
      </c>
      <c r="R44" s="10">
        <v>467547</v>
      </c>
      <c r="S44" s="10">
        <v>2250236</v>
      </c>
      <c r="T44" s="10">
        <v>2698025</v>
      </c>
      <c r="U44" s="10">
        <v>3240745</v>
      </c>
      <c r="V44" s="10">
        <v>3890463</v>
      </c>
      <c r="W44" s="10">
        <v>4667005</v>
      </c>
      <c r="X44" s="10">
        <v>4820127</v>
      </c>
      <c r="Y44" s="10">
        <v>6748564</v>
      </c>
      <c r="Z44" s="10">
        <v>9446922</v>
      </c>
      <c r="AA44" s="10">
        <v>13228476</v>
      </c>
      <c r="AB44" s="10">
        <v>18518188</v>
      </c>
      <c r="AC44" s="10">
        <v>96870688</v>
      </c>
      <c r="AD44" s="10">
        <v>116241868</v>
      </c>
      <c r="AE44" s="10">
        <v>139490430</v>
      </c>
      <c r="AF44" s="10">
        <v>167389072</v>
      </c>
      <c r="AG44" s="10">
        <v>200866267</v>
      </c>
      <c r="AH44" s="10">
        <v>372221109</v>
      </c>
      <c r="AI44" s="10">
        <v>521110442</v>
      </c>
      <c r="AJ44" s="10">
        <v>729553212</v>
      </c>
      <c r="AK44" s="10">
        <v>1021377172</v>
      </c>
      <c r="AL44" s="10">
        <v>1429929212</v>
      </c>
    </row>
    <row r="45" spans="1:38" ht="16.5" customHeight="1">
      <c r="A45" s="2">
        <v>44</v>
      </c>
      <c r="B45" s="23" t="str">
        <f t="shared" si="1"/>
        <v>[39183,47525,53163,66276,77293,76154,91019,108385,131190,156274,251477,301725,362528,434346,523653,2520264,3021788,3629634,4357319,5227046,5398542,7558392,10580553,14815893,20740371,108495171,130190892,156229282,187475761,224970219,416887642,583643695,817099597,1143942433,1601520717]</v>
      </c>
      <c r="C45" s="2"/>
      <c r="D45" s="10">
        <v>39183</v>
      </c>
      <c r="E45" s="10">
        <v>47525</v>
      </c>
      <c r="F45" s="10">
        <v>53163</v>
      </c>
      <c r="G45" s="10">
        <v>66276</v>
      </c>
      <c r="H45" s="10">
        <v>77293</v>
      </c>
      <c r="I45" s="10">
        <v>76154</v>
      </c>
      <c r="J45" s="10">
        <v>91019</v>
      </c>
      <c r="K45" s="10">
        <v>108385</v>
      </c>
      <c r="L45" s="10">
        <v>131190</v>
      </c>
      <c r="M45" s="10">
        <v>156274</v>
      </c>
      <c r="N45" s="10">
        <v>251477</v>
      </c>
      <c r="O45" s="10">
        <v>301725</v>
      </c>
      <c r="P45" s="10">
        <v>362528</v>
      </c>
      <c r="Q45" s="10">
        <v>434346</v>
      </c>
      <c r="R45" s="10">
        <v>523653</v>
      </c>
      <c r="S45" s="10">
        <v>2520264</v>
      </c>
      <c r="T45" s="10">
        <v>3021788</v>
      </c>
      <c r="U45" s="10">
        <v>3629634</v>
      </c>
      <c r="V45" s="10">
        <v>4357319</v>
      </c>
      <c r="W45" s="10">
        <v>5227046</v>
      </c>
      <c r="X45" s="10">
        <v>5398542</v>
      </c>
      <c r="Y45" s="10">
        <v>7558392</v>
      </c>
      <c r="Z45" s="10">
        <v>10580553</v>
      </c>
      <c r="AA45" s="10">
        <v>14815893</v>
      </c>
      <c r="AB45" s="10">
        <v>20740371</v>
      </c>
      <c r="AC45" s="10">
        <v>108495171</v>
      </c>
      <c r="AD45" s="10">
        <v>130190892</v>
      </c>
      <c r="AE45" s="10">
        <v>156229282</v>
      </c>
      <c r="AF45" s="10">
        <v>187475761</v>
      </c>
      <c r="AG45" s="10">
        <v>224970219</v>
      </c>
      <c r="AH45" s="10">
        <v>416887642</v>
      </c>
      <c r="AI45" s="10">
        <v>583643695</v>
      </c>
      <c r="AJ45" s="10">
        <v>817099597</v>
      </c>
      <c r="AK45" s="10">
        <v>1143942433</v>
      </c>
      <c r="AL45" s="10">
        <v>1601520717</v>
      </c>
    </row>
    <row r="46" spans="1:38" ht="16.5" customHeight="1">
      <c r="A46" s="2">
        <v>45</v>
      </c>
      <c r="B46" s="23" t="str">
        <f t="shared" si="1"/>
        <v>[43885,53228,59543,74229,86568,85292,101941,121391,146933,175027,281654,337932,406031,486468,586491,2822696,3384403,4065190,4880197,5854292,6046367,8465399,11850219,16593800,23229216,121514592,145813799,174976796,209972852,251966645,466914159,653680938,915151549,1281215525,1793703203]</v>
      </c>
      <c r="C46" s="2"/>
      <c r="D46" s="10">
        <v>43885</v>
      </c>
      <c r="E46" s="10">
        <v>53228</v>
      </c>
      <c r="F46" s="10">
        <v>59543</v>
      </c>
      <c r="G46" s="10">
        <v>74229</v>
      </c>
      <c r="H46" s="10">
        <v>86568</v>
      </c>
      <c r="I46" s="10">
        <v>85292</v>
      </c>
      <c r="J46" s="10">
        <v>101941</v>
      </c>
      <c r="K46" s="10">
        <v>121391</v>
      </c>
      <c r="L46" s="10">
        <v>146933</v>
      </c>
      <c r="M46" s="10">
        <v>175027</v>
      </c>
      <c r="N46" s="10">
        <v>281654</v>
      </c>
      <c r="O46" s="10">
        <v>337932</v>
      </c>
      <c r="P46" s="10">
        <v>406031</v>
      </c>
      <c r="Q46" s="10">
        <v>486468</v>
      </c>
      <c r="R46" s="10">
        <v>586491</v>
      </c>
      <c r="S46" s="10">
        <v>2822696</v>
      </c>
      <c r="T46" s="10">
        <v>3384403</v>
      </c>
      <c r="U46" s="10">
        <v>4065190</v>
      </c>
      <c r="V46" s="10">
        <v>4880197</v>
      </c>
      <c r="W46" s="10">
        <v>5854292</v>
      </c>
      <c r="X46" s="10">
        <v>6046367</v>
      </c>
      <c r="Y46" s="10">
        <v>8465399</v>
      </c>
      <c r="Z46" s="10">
        <v>11850219</v>
      </c>
      <c r="AA46" s="10">
        <v>16593800</v>
      </c>
      <c r="AB46" s="10">
        <v>23229216</v>
      </c>
      <c r="AC46" s="10">
        <v>121514592</v>
      </c>
      <c r="AD46" s="10">
        <v>145813799</v>
      </c>
      <c r="AE46" s="10">
        <v>174976796</v>
      </c>
      <c r="AF46" s="10">
        <v>209972852</v>
      </c>
      <c r="AG46" s="10">
        <v>251966645</v>
      </c>
      <c r="AH46" s="10">
        <v>466914159</v>
      </c>
      <c r="AI46" s="10">
        <v>653680938</v>
      </c>
      <c r="AJ46" s="10">
        <v>915151549</v>
      </c>
      <c r="AK46" s="10">
        <v>1281215525</v>
      </c>
      <c r="AL46" s="10">
        <v>1793703203</v>
      </c>
    </row>
    <row r="47" spans="1:38" ht="16.5" customHeight="1">
      <c r="A47" s="2">
        <v>46</v>
      </c>
      <c r="B47" s="23" t="str">
        <f t="shared" si="1"/>
        <v>[49151,59615,66688,83136,96956,95527,114174,135958,164565,196030,315452,378484,454755,544844,656870,3161420,3790531,4553013,5465821,6556807,6771931,9481247,13272245,18585056,26016722,136096343,163311455,195974012,235169594,282202642,522943858,732122651,1024969735,1434961388,2008947587]</v>
      </c>
      <c r="C47" s="2"/>
      <c r="D47" s="10">
        <v>49151</v>
      </c>
      <c r="E47" s="10">
        <v>59615</v>
      </c>
      <c r="F47" s="10">
        <v>66688</v>
      </c>
      <c r="G47" s="10">
        <v>83136</v>
      </c>
      <c r="H47" s="10">
        <v>96956</v>
      </c>
      <c r="I47" s="10">
        <v>95527</v>
      </c>
      <c r="J47" s="10">
        <v>114174</v>
      </c>
      <c r="K47" s="10">
        <v>135958</v>
      </c>
      <c r="L47" s="10">
        <v>164565</v>
      </c>
      <c r="M47" s="10">
        <v>196030</v>
      </c>
      <c r="N47" s="10">
        <v>315452</v>
      </c>
      <c r="O47" s="10">
        <v>378484</v>
      </c>
      <c r="P47" s="10">
        <v>454755</v>
      </c>
      <c r="Q47" s="10">
        <v>544844</v>
      </c>
      <c r="R47" s="10">
        <v>656870</v>
      </c>
      <c r="S47" s="10">
        <v>3161420</v>
      </c>
      <c r="T47" s="10">
        <v>3790531</v>
      </c>
      <c r="U47" s="10">
        <v>4553013</v>
      </c>
      <c r="V47" s="10">
        <v>5465821</v>
      </c>
      <c r="W47" s="10">
        <v>6556807</v>
      </c>
      <c r="X47" s="10">
        <v>6771931</v>
      </c>
      <c r="Y47" s="10">
        <v>9481247</v>
      </c>
      <c r="Z47" s="10">
        <v>13272245</v>
      </c>
      <c r="AA47" s="10">
        <v>18585056</v>
      </c>
      <c r="AB47" s="10">
        <v>26016722</v>
      </c>
      <c r="AC47" s="10">
        <v>136096343</v>
      </c>
      <c r="AD47" s="10">
        <v>163311455</v>
      </c>
      <c r="AE47" s="10">
        <v>195974012</v>
      </c>
      <c r="AF47" s="10">
        <v>235169594</v>
      </c>
      <c r="AG47" s="10">
        <v>282202642</v>
      </c>
      <c r="AH47" s="10">
        <v>522943858</v>
      </c>
      <c r="AI47" s="10">
        <v>732122651</v>
      </c>
      <c r="AJ47" s="10">
        <v>1024969735</v>
      </c>
      <c r="AK47" s="10">
        <v>1434961388</v>
      </c>
      <c r="AL47" s="10">
        <v>2008947587</v>
      </c>
    </row>
    <row r="48" spans="1:38" ht="16.5" customHeight="1">
      <c r="A48" s="2">
        <v>47</v>
      </c>
      <c r="B48" s="23" t="str">
        <f t="shared" si="1"/>
        <v>[55049,66769,74691,93112,108591,106990,127875,152273,184313,219554,353306,423902,509326,610225,735694,3540790,4245395,5099375,6121720,7343624,7584563,10618997,14864914,20815263,29138729,152427904,182908830,219490893,263389945,316066959,585697121,819977369,1147966103,1607156755,2250021297]</v>
      </c>
      <c r="C48" s="2"/>
      <c r="D48" s="10">
        <v>55049</v>
      </c>
      <c r="E48" s="10">
        <v>66769</v>
      </c>
      <c r="F48" s="10">
        <v>74691</v>
      </c>
      <c r="G48" s="10">
        <v>93112</v>
      </c>
      <c r="H48" s="10">
        <v>108591</v>
      </c>
      <c r="I48" s="10">
        <v>106990</v>
      </c>
      <c r="J48" s="10">
        <v>127875</v>
      </c>
      <c r="K48" s="10">
        <v>152273</v>
      </c>
      <c r="L48" s="10">
        <v>184313</v>
      </c>
      <c r="M48" s="10">
        <v>219554</v>
      </c>
      <c r="N48" s="10">
        <v>353306</v>
      </c>
      <c r="O48" s="10">
        <v>423902</v>
      </c>
      <c r="P48" s="10">
        <v>509326</v>
      </c>
      <c r="Q48" s="10">
        <v>610225</v>
      </c>
      <c r="R48" s="10">
        <v>735694</v>
      </c>
      <c r="S48" s="10">
        <v>3540790</v>
      </c>
      <c r="T48" s="10">
        <v>4245395</v>
      </c>
      <c r="U48" s="10">
        <v>5099375</v>
      </c>
      <c r="V48" s="10">
        <v>6121720</v>
      </c>
      <c r="W48" s="10">
        <v>7343624</v>
      </c>
      <c r="X48" s="10">
        <v>7584563</v>
      </c>
      <c r="Y48" s="10">
        <v>10618997</v>
      </c>
      <c r="Z48" s="10">
        <v>14864914</v>
      </c>
      <c r="AA48" s="10">
        <v>20815263</v>
      </c>
      <c r="AB48" s="10">
        <v>29138729</v>
      </c>
      <c r="AC48" s="10">
        <v>152427904</v>
      </c>
      <c r="AD48" s="10">
        <v>182908830</v>
      </c>
      <c r="AE48" s="10">
        <v>219490893</v>
      </c>
      <c r="AF48" s="10">
        <v>263389945</v>
      </c>
      <c r="AG48" s="10">
        <v>316066959</v>
      </c>
      <c r="AH48" s="10">
        <v>585697121</v>
      </c>
      <c r="AI48" s="10">
        <v>819977369</v>
      </c>
      <c r="AJ48" s="10">
        <v>1147966103</v>
      </c>
      <c r="AK48" s="10">
        <v>1607156755</v>
      </c>
      <c r="AL48" s="10">
        <v>2250021297</v>
      </c>
    </row>
    <row r="49" spans="1:38" ht="16.5" customHeight="1">
      <c r="A49" s="2">
        <v>48</v>
      </c>
      <c r="B49" s="23" t="str">
        <f t="shared" si="1"/>
        <v>[61655,74781,83654,104285,121622,119829,143220,170546,206431,245900,395703,474770,570445,683452,823977,3965685,4754842,5711300,6856326,8224859,8494711,11893277,16648704,23313095,32635376,170719252,204857890,245829800,294996738,353994994,655980776,918374653,1285722035,1800015566,2520023853]</v>
      </c>
      <c r="C49" s="2"/>
      <c r="D49" s="10">
        <v>61655</v>
      </c>
      <c r="E49" s="10">
        <v>74781</v>
      </c>
      <c r="F49" s="10">
        <v>83654</v>
      </c>
      <c r="G49" s="10">
        <v>104285</v>
      </c>
      <c r="H49" s="10">
        <v>121622</v>
      </c>
      <c r="I49" s="10">
        <v>119829</v>
      </c>
      <c r="J49" s="10">
        <v>143220</v>
      </c>
      <c r="K49" s="10">
        <v>170546</v>
      </c>
      <c r="L49" s="10">
        <v>206431</v>
      </c>
      <c r="M49" s="10">
        <v>245900</v>
      </c>
      <c r="N49" s="10">
        <v>395703</v>
      </c>
      <c r="O49" s="10">
        <v>474770</v>
      </c>
      <c r="P49" s="10">
        <v>570445</v>
      </c>
      <c r="Q49" s="10">
        <v>683452</v>
      </c>
      <c r="R49" s="10">
        <v>823977</v>
      </c>
      <c r="S49" s="10">
        <v>3965685</v>
      </c>
      <c r="T49" s="10">
        <v>4754842</v>
      </c>
      <c r="U49" s="10">
        <v>5711300</v>
      </c>
      <c r="V49" s="10">
        <v>6856326</v>
      </c>
      <c r="W49" s="10">
        <v>8224859</v>
      </c>
      <c r="X49" s="10">
        <v>8494711</v>
      </c>
      <c r="Y49" s="10">
        <v>11893277</v>
      </c>
      <c r="Z49" s="10">
        <v>16648704</v>
      </c>
      <c r="AA49" s="10">
        <v>23313095</v>
      </c>
      <c r="AB49" s="10">
        <v>32635376</v>
      </c>
      <c r="AC49" s="10">
        <v>170719252</v>
      </c>
      <c r="AD49" s="10">
        <v>204857890</v>
      </c>
      <c r="AE49" s="10">
        <v>245829800</v>
      </c>
      <c r="AF49" s="10">
        <v>294996738</v>
      </c>
      <c r="AG49" s="10">
        <v>353994994</v>
      </c>
      <c r="AH49" s="10">
        <v>655980776</v>
      </c>
      <c r="AI49" s="10">
        <v>918374653</v>
      </c>
      <c r="AJ49" s="10">
        <v>1285722035</v>
      </c>
      <c r="AK49" s="10">
        <v>1800015566</v>
      </c>
      <c r="AL49" s="10">
        <v>2520023853</v>
      </c>
    </row>
    <row r="50" spans="1:38" ht="16.5" customHeight="1">
      <c r="A50" s="2">
        <v>49</v>
      </c>
      <c r="B50" s="23" t="str">
        <f t="shared" si="1"/>
        <v>[69054,83755,93692,116799,136217,134208,160406,191012,231203,275408,443187,531742,638898,765466,922854,4441567,5325423,6396656,7679085,9211842,9514076,13320470,18646548,26110666,36551621,191205562,229440837,275329376,330396347,396474393,734698469,1028579611,1440008679,2016017434,2822426715]</v>
      </c>
      <c r="C50" s="2"/>
      <c r="D50" s="10">
        <v>69054</v>
      </c>
      <c r="E50" s="10">
        <v>83755</v>
      </c>
      <c r="F50" s="10">
        <v>93692</v>
      </c>
      <c r="G50" s="10">
        <v>116799</v>
      </c>
      <c r="H50" s="10">
        <v>136217</v>
      </c>
      <c r="I50" s="10">
        <v>134208</v>
      </c>
      <c r="J50" s="10">
        <v>160406</v>
      </c>
      <c r="K50" s="10">
        <v>191012</v>
      </c>
      <c r="L50" s="10">
        <v>231203</v>
      </c>
      <c r="M50" s="10">
        <v>275408</v>
      </c>
      <c r="N50" s="10">
        <v>443187</v>
      </c>
      <c r="O50" s="10">
        <v>531742</v>
      </c>
      <c r="P50" s="10">
        <v>638898</v>
      </c>
      <c r="Q50" s="10">
        <v>765466</v>
      </c>
      <c r="R50" s="10">
        <v>922854</v>
      </c>
      <c r="S50" s="10">
        <v>4441567</v>
      </c>
      <c r="T50" s="10">
        <v>5325423</v>
      </c>
      <c r="U50" s="10">
        <v>6396656</v>
      </c>
      <c r="V50" s="10">
        <v>7679085</v>
      </c>
      <c r="W50" s="10">
        <v>9211842</v>
      </c>
      <c r="X50" s="10">
        <v>9514076</v>
      </c>
      <c r="Y50" s="10">
        <v>13320470</v>
      </c>
      <c r="Z50" s="10">
        <v>18646548</v>
      </c>
      <c r="AA50" s="10">
        <v>26110666</v>
      </c>
      <c r="AB50" s="10">
        <v>36551621</v>
      </c>
      <c r="AC50" s="10">
        <v>191205562</v>
      </c>
      <c r="AD50" s="10">
        <v>229440837</v>
      </c>
      <c r="AE50" s="10">
        <v>275329376</v>
      </c>
      <c r="AF50" s="10">
        <v>330396347</v>
      </c>
      <c r="AG50" s="10">
        <v>396474393</v>
      </c>
      <c r="AH50" s="10">
        <v>734698469</v>
      </c>
      <c r="AI50" s="10">
        <v>1028579611</v>
      </c>
      <c r="AJ50" s="10">
        <v>1440008679</v>
      </c>
      <c r="AK50" s="10">
        <v>2016017434</v>
      </c>
      <c r="AL50" s="10">
        <v>2822426715</v>
      </c>
    </row>
    <row r="51" spans="1:38" ht="16.5" customHeight="1">
      <c r="A51" s="2">
        <v>50</v>
      </c>
      <c r="B51" s="23" t="str">
        <f t="shared" si="1"/>
        <v>[77340,93806,104935,130815,152563,150313,179655,213933,258947,308457,496369,595551,715566,857322,1033596,4974555,5964474,7164255,8600575,10317263,10655765,14918926,20884134,29243946,40937816,214150229,256973737,308368901,370043909,444051320,822862285,1152009164,1612809720,2257939526,3161117921]</v>
      </c>
      <c r="C51" s="2"/>
      <c r="D51" s="10">
        <v>77340</v>
      </c>
      <c r="E51" s="10">
        <v>93806</v>
      </c>
      <c r="F51" s="10">
        <v>104935</v>
      </c>
      <c r="G51" s="10">
        <v>130815</v>
      </c>
      <c r="H51" s="10">
        <v>152563</v>
      </c>
      <c r="I51" s="10">
        <v>150313</v>
      </c>
      <c r="J51" s="10">
        <v>179655</v>
      </c>
      <c r="K51" s="10">
        <v>213933</v>
      </c>
      <c r="L51" s="10">
        <v>258947</v>
      </c>
      <c r="M51" s="10">
        <v>308457</v>
      </c>
      <c r="N51" s="10">
        <v>496369</v>
      </c>
      <c r="O51" s="10">
        <v>595551</v>
      </c>
      <c r="P51" s="10">
        <v>715566</v>
      </c>
      <c r="Q51" s="10">
        <v>857322</v>
      </c>
      <c r="R51" s="10">
        <v>1033596</v>
      </c>
      <c r="S51" s="10">
        <v>4974555</v>
      </c>
      <c r="T51" s="10">
        <v>5964474</v>
      </c>
      <c r="U51" s="10">
        <v>7164255</v>
      </c>
      <c r="V51" s="10">
        <v>8600575</v>
      </c>
      <c r="W51" s="10">
        <v>10317263</v>
      </c>
      <c r="X51" s="10">
        <v>10655765</v>
      </c>
      <c r="Y51" s="10">
        <v>14918926</v>
      </c>
      <c r="Z51" s="10">
        <v>20884134</v>
      </c>
      <c r="AA51" s="10">
        <v>29243946</v>
      </c>
      <c r="AB51" s="10">
        <v>40937816</v>
      </c>
      <c r="AC51" s="10">
        <v>214150229</v>
      </c>
      <c r="AD51" s="10">
        <v>256973737</v>
      </c>
      <c r="AE51" s="10">
        <v>308368901</v>
      </c>
      <c r="AF51" s="10">
        <v>370043909</v>
      </c>
      <c r="AG51" s="10">
        <v>444051320</v>
      </c>
      <c r="AH51" s="10">
        <v>822862285</v>
      </c>
      <c r="AI51" s="10">
        <v>1152009164</v>
      </c>
      <c r="AJ51" s="10">
        <v>1612809720</v>
      </c>
      <c r="AK51" s="10">
        <v>2257939526</v>
      </c>
      <c r="AL51" s="10">
        <v>3161117921</v>
      </c>
    </row>
    <row r="52" spans="1:38" ht="16.5" customHeight="1">
      <c r="A52" s="2">
        <v>51</v>
      </c>
      <c r="B52" s="23" t="str">
        <f t="shared" si="1"/>
        <v>[86621,105063,117527,146513,170871,168351,201214,239605,290021,345472,555933,667017,801434,960201,1157628,5571502,6680211,8023966,9632644,11555335,11934457,16709197,23390230,32753220,45850354,239848256,287810585,345373169,414449178,497337478,921605759,1290250264,1806346886,2528892269,3540452072]</v>
      </c>
      <c r="C52" s="2"/>
      <c r="D52" s="10">
        <v>86621</v>
      </c>
      <c r="E52" s="10">
        <v>105063</v>
      </c>
      <c r="F52" s="10">
        <v>117527</v>
      </c>
      <c r="G52" s="10">
        <v>146513</v>
      </c>
      <c r="H52" s="10">
        <v>170871</v>
      </c>
      <c r="I52" s="10">
        <v>168351</v>
      </c>
      <c r="J52" s="10">
        <v>201214</v>
      </c>
      <c r="K52" s="10">
        <v>239605</v>
      </c>
      <c r="L52" s="10">
        <v>290021</v>
      </c>
      <c r="M52" s="10">
        <v>345472</v>
      </c>
      <c r="N52" s="10">
        <v>555933</v>
      </c>
      <c r="O52" s="10">
        <v>667017</v>
      </c>
      <c r="P52" s="10">
        <v>801434</v>
      </c>
      <c r="Q52" s="10">
        <v>960201</v>
      </c>
      <c r="R52" s="10">
        <v>1157628</v>
      </c>
      <c r="S52" s="10">
        <v>5571502</v>
      </c>
      <c r="T52" s="10">
        <v>6680211</v>
      </c>
      <c r="U52" s="10">
        <v>8023966</v>
      </c>
      <c r="V52" s="10">
        <v>9632644</v>
      </c>
      <c r="W52" s="10">
        <v>11555335</v>
      </c>
      <c r="X52" s="10">
        <v>11934457</v>
      </c>
      <c r="Y52" s="10">
        <v>16709197</v>
      </c>
      <c r="Z52" s="10">
        <v>23390230</v>
      </c>
      <c r="AA52" s="10">
        <v>32753220</v>
      </c>
      <c r="AB52" s="10">
        <v>45850354</v>
      </c>
      <c r="AC52" s="10">
        <v>239848256</v>
      </c>
      <c r="AD52" s="10">
        <v>287810585</v>
      </c>
      <c r="AE52" s="10">
        <v>345373169</v>
      </c>
      <c r="AF52" s="10">
        <v>414449178</v>
      </c>
      <c r="AG52" s="10">
        <v>497337478</v>
      </c>
      <c r="AH52" s="10">
        <v>921605759</v>
      </c>
      <c r="AI52" s="10">
        <v>1290250264</v>
      </c>
      <c r="AJ52" s="10">
        <v>1806346886</v>
      </c>
      <c r="AK52" s="10">
        <v>2528892269</v>
      </c>
      <c r="AL52" s="10">
        <v>3540452072</v>
      </c>
    </row>
    <row r="53" spans="1:38" ht="16.5" customHeight="1">
      <c r="A53" s="2">
        <v>52</v>
      </c>
      <c r="B53" s="23" t="str">
        <f t="shared" si="1"/>
        <v>[97016,117671,131630,164095,191376,188553,225360,268358,324824,386929,622645,747059,897606,1075425,1296543,6240082,7481836,8986842,10788561,12941975,13366592,18714301,26197058,36683606,51352396,268630047,322347855,386817949,464183079,557017975,1032198450,1445080296,2023108512,2832359341,3965306321]</v>
      </c>
      <c r="C53" s="2"/>
      <c r="D53" s="10">
        <v>97016</v>
      </c>
      <c r="E53" s="10">
        <v>117671</v>
      </c>
      <c r="F53" s="10">
        <v>131630</v>
      </c>
      <c r="G53" s="10">
        <v>164095</v>
      </c>
      <c r="H53" s="10">
        <v>191376</v>
      </c>
      <c r="I53" s="10">
        <v>188553</v>
      </c>
      <c r="J53" s="10">
        <v>225360</v>
      </c>
      <c r="K53" s="10">
        <v>268358</v>
      </c>
      <c r="L53" s="10">
        <v>324824</v>
      </c>
      <c r="M53" s="10">
        <v>386929</v>
      </c>
      <c r="N53" s="10">
        <v>622645</v>
      </c>
      <c r="O53" s="10">
        <v>747059</v>
      </c>
      <c r="P53" s="10">
        <v>897606</v>
      </c>
      <c r="Q53" s="10">
        <v>1075425</v>
      </c>
      <c r="R53" s="10">
        <v>1296543</v>
      </c>
      <c r="S53" s="10">
        <v>6240082</v>
      </c>
      <c r="T53" s="10">
        <v>7481836</v>
      </c>
      <c r="U53" s="10">
        <v>8986842</v>
      </c>
      <c r="V53" s="10">
        <v>10788561</v>
      </c>
      <c r="W53" s="10">
        <v>12941975</v>
      </c>
      <c r="X53" s="10">
        <v>13366592</v>
      </c>
      <c r="Y53" s="10">
        <v>18714301</v>
      </c>
      <c r="Z53" s="10">
        <v>26197058</v>
      </c>
      <c r="AA53" s="10">
        <v>36683606</v>
      </c>
      <c r="AB53" s="10">
        <v>51352396</v>
      </c>
      <c r="AC53" s="10">
        <v>268630047</v>
      </c>
      <c r="AD53" s="10">
        <v>322347855</v>
      </c>
      <c r="AE53" s="10">
        <v>386817949</v>
      </c>
      <c r="AF53" s="10">
        <v>464183079</v>
      </c>
      <c r="AG53" s="10">
        <v>557017975</v>
      </c>
      <c r="AH53" s="10">
        <v>1032198450</v>
      </c>
      <c r="AI53" s="10">
        <v>1445080296</v>
      </c>
      <c r="AJ53" s="10">
        <v>2023108512</v>
      </c>
      <c r="AK53" s="10">
        <v>2832359341</v>
      </c>
      <c r="AL53" s="10">
        <v>3965306321</v>
      </c>
    </row>
    <row r="54" spans="1:38" ht="16.5" customHeight="1">
      <c r="A54" s="2">
        <v>53</v>
      </c>
      <c r="B54" s="23" t="str">
        <f t="shared" si="1"/>
        <v>[108658,131792,147426,183786,214341,211179,252403,300561,363803,433360,697362,836706,1005319,1204476,1452128,6988892,8379656,10065263,12083188,14495012,14970583,20960017,29340705,41085639,57514684,300865653,361029598,433236103,519885048,623860132,1156062264,1618489932,2265881533,3172242462,4441143080]</v>
      </c>
      <c r="C54" s="2"/>
      <c r="D54" s="10">
        <v>108658</v>
      </c>
      <c r="E54" s="10">
        <v>131792</v>
      </c>
      <c r="F54" s="10">
        <v>147426</v>
      </c>
      <c r="G54" s="10">
        <v>183786</v>
      </c>
      <c r="H54" s="10">
        <v>214341</v>
      </c>
      <c r="I54" s="10">
        <v>211179</v>
      </c>
      <c r="J54" s="10">
        <v>252403</v>
      </c>
      <c r="K54" s="10">
        <v>300561</v>
      </c>
      <c r="L54" s="10">
        <v>363803</v>
      </c>
      <c r="M54" s="10">
        <v>433360</v>
      </c>
      <c r="N54" s="10">
        <v>697362</v>
      </c>
      <c r="O54" s="10">
        <v>836706</v>
      </c>
      <c r="P54" s="10">
        <v>1005319</v>
      </c>
      <c r="Q54" s="10">
        <v>1204476</v>
      </c>
      <c r="R54" s="10">
        <v>1452128</v>
      </c>
      <c r="S54" s="10">
        <v>6988892</v>
      </c>
      <c r="T54" s="10">
        <v>8379656</v>
      </c>
      <c r="U54" s="10">
        <v>10065263</v>
      </c>
      <c r="V54" s="10">
        <v>12083188</v>
      </c>
      <c r="W54" s="10">
        <v>14495012</v>
      </c>
      <c r="X54" s="10">
        <v>14970583</v>
      </c>
      <c r="Y54" s="10">
        <v>20960017</v>
      </c>
      <c r="Z54" s="10">
        <v>29340705</v>
      </c>
      <c r="AA54" s="10">
        <v>41085639</v>
      </c>
      <c r="AB54" s="10">
        <v>57514684</v>
      </c>
      <c r="AC54" s="10">
        <v>300865653</v>
      </c>
      <c r="AD54" s="10">
        <v>361029598</v>
      </c>
      <c r="AE54" s="10">
        <v>433236103</v>
      </c>
      <c r="AF54" s="10">
        <v>519885048</v>
      </c>
      <c r="AG54" s="10">
        <v>623860132</v>
      </c>
      <c r="AH54" s="10">
        <v>1156062264</v>
      </c>
      <c r="AI54" s="10">
        <v>1618489932</v>
      </c>
      <c r="AJ54" s="10">
        <v>2265881533</v>
      </c>
      <c r="AK54" s="10">
        <v>3172242462</v>
      </c>
      <c r="AL54" s="10">
        <v>4441143080</v>
      </c>
    </row>
    <row r="55" spans="1:38" ht="16.5" customHeight="1">
      <c r="A55" s="2">
        <v>54</v>
      </c>
      <c r="B55" s="23" t="str">
        <f t="shared" si="1"/>
        <v>[121697,147607,165117,205840,240062,236520,282691,336628,407459,485363,781045,937111,1125957,1349013,1626383,7827559,9385215,11273095,13533171,16234413,16767053,23475219,32861590,46015916,64416446,336969531,404353150,485224435,582271254,698723348,1294789736,1812708724,2537787317,3552911557,4974080250]</v>
      </c>
      <c r="C55" s="2"/>
      <c r="D55" s="10">
        <v>121697</v>
      </c>
      <c r="E55" s="10">
        <v>147607</v>
      </c>
      <c r="F55" s="10">
        <v>165117</v>
      </c>
      <c r="G55" s="10">
        <v>205840</v>
      </c>
      <c r="H55" s="10">
        <v>240062</v>
      </c>
      <c r="I55" s="10">
        <v>236520</v>
      </c>
      <c r="J55" s="10">
        <v>282691</v>
      </c>
      <c r="K55" s="10">
        <v>336628</v>
      </c>
      <c r="L55" s="10">
        <v>407459</v>
      </c>
      <c r="M55" s="10">
        <v>485363</v>
      </c>
      <c r="N55" s="10">
        <v>781045</v>
      </c>
      <c r="O55" s="10">
        <v>937111</v>
      </c>
      <c r="P55" s="10">
        <v>1125957</v>
      </c>
      <c r="Q55" s="10">
        <v>1349013</v>
      </c>
      <c r="R55" s="10">
        <v>1626383</v>
      </c>
      <c r="S55" s="10">
        <v>7827559</v>
      </c>
      <c r="T55" s="10">
        <v>9385215</v>
      </c>
      <c r="U55" s="10">
        <v>11273095</v>
      </c>
      <c r="V55" s="10">
        <v>13533171</v>
      </c>
      <c r="W55" s="10">
        <v>16234413</v>
      </c>
      <c r="X55" s="10">
        <v>16767053</v>
      </c>
      <c r="Y55" s="10">
        <v>23475219</v>
      </c>
      <c r="Z55" s="10">
        <v>32861590</v>
      </c>
      <c r="AA55" s="10">
        <v>46015916</v>
      </c>
      <c r="AB55" s="10">
        <v>64416446</v>
      </c>
      <c r="AC55" s="10">
        <v>336969531</v>
      </c>
      <c r="AD55" s="10">
        <v>404353150</v>
      </c>
      <c r="AE55" s="10">
        <v>485224435</v>
      </c>
      <c r="AF55" s="10">
        <v>582271254</v>
      </c>
      <c r="AG55" s="10">
        <v>698723348</v>
      </c>
      <c r="AH55" s="10">
        <v>1294789736</v>
      </c>
      <c r="AI55" s="10">
        <v>1812708724</v>
      </c>
      <c r="AJ55" s="10">
        <v>2537787317</v>
      </c>
      <c r="AK55" s="10">
        <v>3552911557</v>
      </c>
      <c r="AL55" s="10">
        <v>4974080250</v>
      </c>
    </row>
    <row r="56" spans="1:38" ht="16.5" customHeight="1">
      <c r="A56" s="2">
        <v>55</v>
      </c>
      <c r="B56" s="23" t="str">
        <f t="shared" si="1"/>
        <v>[136301,165320,184931,230541,268869,264902,316614,377023,456354,543607,874770,1049564,1261072,1510895,1821549,8766866,10511441,12625866,15157152,18182543,18779099,26292245,36804981,51537826,72146420,377405875,452875528,543451367,652143804,782570150,1450164504,2030233771,2842321795,3979260944,5570969880]</v>
      </c>
      <c r="C56" s="2"/>
      <c r="D56" s="10">
        <v>136301</v>
      </c>
      <c r="E56" s="10">
        <v>165320</v>
      </c>
      <c r="F56" s="10">
        <v>184931</v>
      </c>
      <c r="G56" s="10">
        <v>230541</v>
      </c>
      <c r="H56" s="10">
        <v>268869</v>
      </c>
      <c r="I56" s="10">
        <v>264902</v>
      </c>
      <c r="J56" s="10">
        <v>316614</v>
      </c>
      <c r="K56" s="10">
        <v>377023</v>
      </c>
      <c r="L56" s="10">
        <v>456354</v>
      </c>
      <c r="M56" s="10">
        <v>543607</v>
      </c>
      <c r="N56" s="10">
        <v>874770</v>
      </c>
      <c r="O56" s="10">
        <v>1049564</v>
      </c>
      <c r="P56" s="10">
        <v>1261072</v>
      </c>
      <c r="Q56" s="10">
        <v>1510895</v>
      </c>
      <c r="R56" s="10">
        <v>1821549</v>
      </c>
      <c r="S56" s="10">
        <v>8766866</v>
      </c>
      <c r="T56" s="10">
        <v>10511441</v>
      </c>
      <c r="U56" s="10">
        <v>12625866</v>
      </c>
      <c r="V56" s="10">
        <v>15157152</v>
      </c>
      <c r="W56" s="10">
        <v>18182543</v>
      </c>
      <c r="X56" s="10">
        <v>18779099</v>
      </c>
      <c r="Y56" s="10">
        <v>26292245</v>
      </c>
      <c r="Z56" s="10">
        <v>36804981</v>
      </c>
      <c r="AA56" s="10">
        <v>51537826</v>
      </c>
      <c r="AB56" s="10">
        <v>72146420</v>
      </c>
      <c r="AC56" s="10">
        <v>377405875</v>
      </c>
      <c r="AD56" s="10">
        <v>452875528</v>
      </c>
      <c r="AE56" s="10">
        <v>543451367</v>
      </c>
      <c r="AF56" s="10">
        <v>652143804</v>
      </c>
      <c r="AG56" s="10">
        <v>782570150</v>
      </c>
      <c r="AH56" s="10">
        <v>1450164504</v>
      </c>
      <c r="AI56" s="10">
        <v>2030233771</v>
      </c>
      <c r="AJ56" s="10">
        <v>2842321795</v>
      </c>
      <c r="AK56" s="10">
        <v>3979260944</v>
      </c>
      <c r="AL56" s="10">
        <v>5570969880</v>
      </c>
    </row>
    <row r="57" spans="1:38" ht="16.5" customHeight="1">
      <c r="A57" s="2">
        <v>56</v>
      </c>
      <c r="B57" s="23" t="str">
        <f t="shared" si="1"/>
        <v>[152657,185158,207123,258206,301133,296690,354608,422266,511116,608840,979742,1175512,1412401,1692202,2040135,9818890,11772814,14140970,16976010,20364448,21032591,29447314,41221579,57722365,80803990,422694580,507220591,608665531,730401060,876478568,1624184244,2273861824,3183400410,4456772257,6239486266]</v>
      </c>
      <c r="C57" s="2"/>
      <c r="D57" s="10">
        <v>152657</v>
      </c>
      <c r="E57" s="10">
        <v>185158</v>
      </c>
      <c r="F57" s="10">
        <v>207123</v>
      </c>
      <c r="G57" s="10">
        <v>258206</v>
      </c>
      <c r="H57" s="10">
        <v>301133</v>
      </c>
      <c r="I57" s="10">
        <v>296690</v>
      </c>
      <c r="J57" s="10">
        <v>354608</v>
      </c>
      <c r="K57" s="10">
        <v>422266</v>
      </c>
      <c r="L57" s="10">
        <v>511116</v>
      </c>
      <c r="M57" s="10">
        <v>608840</v>
      </c>
      <c r="N57" s="10">
        <v>979742</v>
      </c>
      <c r="O57" s="10">
        <v>1175512</v>
      </c>
      <c r="P57" s="10">
        <v>1412401</v>
      </c>
      <c r="Q57" s="10">
        <v>1692202</v>
      </c>
      <c r="R57" s="10">
        <v>2040135</v>
      </c>
      <c r="S57" s="10">
        <v>9818890</v>
      </c>
      <c r="T57" s="10">
        <v>11772814</v>
      </c>
      <c r="U57" s="10">
        <v>14140970</v>
      </c>
      <c r="V57" s="10">
        <v>16976010</v>
      </c>
      <c r="W57" s="10">
        <v>20364448</v>
      </c>
      <c r="X57" s="10">
        <v>21032591</v>
      </c>
      <c r="Y57" s="10">
        <v>29447314</v>
      </c>
      <c r="Z57" s="10">
        <v>41221579</v>
      </c>
      <c r="AA57" s="10">
        <v>57722365</v>
      </c>
      <c r="AB57" s="10">
        <v>80803990</v>
      </c>
      <c r="AC57" s="10">
        <v>422694580</v>
      </c>
      <c r="AD57" s="10">
        <v>507220591</v>
      </c>
      <c r="AE57" s="10">
        <v>608665531</v>
      </c>
      <c r="AF57" s="10">
        <v>730401060</v>
      </c>
      <c r="AG57" s="10">
        <v>876478568</v>
      </c>
      <c r="AH57" s="10">
        <v>1624184244</v>
      </c>
      <c r="AI57" s="10">
        <v>2273861824</v>
      </c>
      <c r="AJ57" s="10">
        <v>3183400410</v>
      </c>
      <c r="AK57" s="10">
        <v>4456772257</v>
      </c>
      <c r="AL57" s="10">
        <v>6239486266</v>
      </c>
    </row>
    <row r="58" spans="1:38" ht="16.5" customHeight="1">
      <c r="A58" s="2">
        <v>57</v>
      </c>
      <c r="B58" s="23" t="str">
        <f t="shared" si="1"/>
        <v>[170976,207377,231978,289191,337269,332293,397161,472938,572450,681901,1097311,1316573,1581889,1895266,2284951,10997157,13185552,15837886,19013131,22808182,23556502,32980992,46168168,64649049,90500469,473417930,568087062,681705395,818049187,981655996,1819086353,2546725243,3565408459,4991584928,6988224618]</v>
      </c>
      <c r="C58" s="2"/>
      <c r="D58" s="10">
        <v>170976</v>
      </c>
      <c r="E58" s="10">
        <v>207377</v>
      </c>
      <c r="F58" s="10">
        <v>231978</v>
      </c>
      <c r="G58" s="10">
        <v>289191</v>
      </c>
      <c r="H58" s="10">
        <v>337269</v>
      </c>
      <c r="I58" s="10">
        <v>332293</v>
      </c>
      <c r="J58" s="10">
        <v>397161</v>
      </c>
      <c r="K58" s="10">
        <v>472938</v>
      </c>
      <c r="L58" s="10">
        <v>572450</v>
      </c>
      <c r="M58" s="10">
        <v>681901</v>
      </c>
      <c r="N58" s="10">
        <v>1097311</v>
      </c>
      <c r="O58" s="10">
        <v>1316573</v>
      </c>
      <c r="P58" s="10">
        <v>1581889</v>
      </c>
      <c r="Q58" s="10">
        <v>1895266</v>
      </c>
      <c r="R58" s="10">
        <v>2284951</v>
      </c>
      <c r="S58" s="10">
        <v>10997157</v>
      </c>
      <c r="T58" s="10">
        <v>13185552</v>
      </c>
      <c r="U58" s="10">
        <v>15837886</v>
      </c>
      <c r="V58" s="10">
        <v>19013131</v>
      </c>
      <c r="W58" s="10">
        <v>22808182</v>
      </c>
      <c r="X58" s="10">
        <v>23556502</v>
      </c>
      <c r="Y58" s="10">
        <v>32980992</v>
      </c>
      <c r="Z58" s="10">
        <v>46168168</v>
      </c>
      <c r="AA58" s="10">
        <v>64649049</v>
      </c>
      <c r="AB58" s="10">
        <v>90500469</v>
      </c>
      <c r="AC58" s="10">
        <v>473417930</v>
      </c>
      <c r="AD58" s="10">
        <v>568087062</v>
      </c>
      <c r="AE58" s="10">
        <v>681705395</v>
      </c>
      <c r="AF58" s="10">
        <v>818049187</v>
      </c>
      <c r="AG58" s="10">
        <v>981655996</v>
      </c>
      <c r="AH58" s="10">
        <v>1819086353</v>
      </c>
      <c r="AI58" s="10">
        <v>2546725243</v>
      </c>
      <c r="AJ58" s="10">
        <v>3565408459</v>
      </c>
      <c r="AK58" s="10">
        <v>4991584928</v>
      </c>
      <c r="AL58" s="10">
        <v>6988224618</v>
      </c>
    </row>
    <row r="59" spans="1:38" ht="16.5" customHeight="1">
      <c r="A59" s="2">
        <v>58</v>
      </c>
      <c r="B59" s="23" t="str">
        <f t="shared" si="1"/>
        <v>[191493,232262,259815,323894,377741,372168,444820,529691,641144,763729,1228988,1474562,1771716,2122698,2559145,12316816,14767818,17738432,21294707,25545164,26383282,36938711,51708348,72406935,101360525,530228082,636257509,763510042,916215089,1099454716,2037376715,2852332272,3993257474,5590575119,7826811572]</v>
      </c>
      <c r="C59" s="2"/>
      <c r="D59" s="10">
        <v>191493</v>
      </c>
      <c r="E59" s="10">
        <v>232262</v>
      </c>
      <c r="F59" s="10">
        <v>259815</v>
      </c>
      <c r="G59" s="10">
        <v>323894</v>
      </c>
      <c r="H59" s="10">
        <v>377741</v>
      </c>
      <c r="I59" s="10">
        <v>372168</v>
      </c>
      <c r="J59" s="10">
        <v>444820</v>
      </c>
      <c r="K59" s="10">
        <v>529691</v>
      </c>
      <c r="L59" s="10">
        <v>641144</v>
      </c>
      <c r="M59" s="10">
        <v>763729</v>
      </c>
      <c r="N59" s="10">
        <v>1228988</v>
      </c>
      <c r="O59" s="10">
        <v>1474562</v>
      </c>
      <c r="P59" s="10">
        <v>1771716</v>
      </c>
      <c r="Q59" s="10">
        <v>2122698</v>
      </c>
      <c r="R59" s="10">
        <v>2559145</v>
      </c>
      <c r="S59" s="10">
        <v>12316816</v>
      </c>
      <c r="T59" s="10">
        <v>14767818</v>
      </c>
      <c r="U59" s="10">
        <v>17738432</v>
      </c>
      <c r="V59" s="10">
        <v>21294707</v>
      </c>
      <c r="W59" s="10">
        <v>25545164</v>
      </c>
      <c r="X59" s="10">
        <v>26383282</v>
      </c>
      <c r="Y59" s="10">
        <v>36938711</v>
      </c>
      <c r="Z59" s="10">
        <v>51708348</v>
      </c>
      <c r="AA59" s="10">
        <v>72406935</v>
      </c>
      <c r="AB59" s="10">
        <v>101360525</v>
      </c>
      <c r="AC59" s="10">
        <v>530228082</v>
      </c>
      <c r="AD59" s="10">
        <v>636257509</v>
      </c>
      <c r="AE59" s="10">
        <v>763510042</v>
      </c>
      <c r="AF59" s="10">
        <v>916215089</v>
      </c>
      <c r="AG59" s="10">
        <v>1099454716</v>
      </c>
      <c r="AH59" s="10">
        <v>2037376715</v>
      </c>
      <c r="AI59" s="10">
        <v>2852332272</v>
      </c>
      <c r="AJ59" s="10">
        <v>3993257474</v>
      </c>
      <c r="AK59" s="10">
        <v>5590575119</v>
      </c>
      <c r="AL59" s="10">
        <v>7826811572</v>
      </c>
    </row>
    <row r="60" spans="1:38" ht="16.5" customHeight="1">
      <c r="A60" s="2">
        <v>59</v>
      </c>
      <c r="B60" s="23" t="str">
        <f t="shared" si="1"/>
        <v>[214472,260133,290993,362761,423070,416828,498198,593254,718081,855376,1376467,1651509,1984322,2377422,2866242,13794834,16539956,19867044,23850072,28610584,29549276,41371356,57913350,81095767,113523788,593855452,712608410,855131247,1026160900,1231389282,2281861921,3194612145,4472448371,6261444133,8766028961]</v>
      </c>
      <c r="C60" s="2"/>
      <c r="D60" s="10">
        <v>214472</v>
      </c>
      <c r="E60" s="10">
        <v>260133</v>
      </c>
      <c r="F60" s="10">
        <v>290993</v>
      </c>
      <c r="G60" s="10">
        <v>362761</v>
      </c>
      <c r="H60" s="10">
        <v>423070</v>
      </c>
      <c r="I60" s="10">
        <v>416828</v>
      </c>
      <c r="J60" s="10">
        <v>498198</v>
      </c>
      <c r="K60" s="10">
        <v>593254</v>
      </c>
      <c r="L60" s="10">
        <v>718081</v>
      </c>
      <c r="M60" s="10">
        <v>855376</v>
      </c>
      <c r="N60" s="10">
        <v>1376467</v>
      </c>
      <c r="O60" s="10">
        <v>1651509</v>
      </c>
      <c r="P60" s="10">
        <v>1984322</v>
      </c>
      <c r="Q60" s="10">
        <v>2377422</v>
      </c>
      <c r="R60" s="10">
        <v>2866242</v>
      </c>
      <c r="S60" s="10">
        <v>13794834</v>
      </c>
      <c r="T60" s="10">
        <v>16539956</v>
      </c>
      <c r="U60" s="10">
        <v>19867044</v>
      </c>
      <c r="V60" s="10">
        <v>23850072</v>
      </c>
      <c r="W60" s="10">
        <v>28610584</v>
      </c>
      <c r="X60" s="10">
        <v>29549276</v>
      </c>
      <c r="Y60" s="10">
        <v>41371356</v>
      </c>
      <c r="Z60" s="10">
        <v>57913350</v>
      </c>
      <c r="AA60" s="10">
        <v>81095767</v>
      </c>
      <c r="AB60" s="10">
        <v>113523788</v>
      </c>
      <c r="AC60" s="10">
        <v>593855452</v>
      </c>
      <c r="AD60" s="10">
        <v>712608410</v>
      </c>
      <c r="AE60" s="10">
        <v>855131247</v>
      </c>
      <c r="AF60" s="10">
        <v>1026160900</v>
      </c>
      <c r="AG60" s="10">
        <v>1231389282</v>
      </c>
      <c r="AH60" s="10">
        <v>2281861921</v>
      </c>
      <c r="AI60" s="10">
        <v>3194612145</v>
      </c>
      <c r="AJ60" s="10">
        <v>4472448371</v>
      </c>
      <c r="AK60" s="10">
        <v>6261444133</v>
      </c>
      <c r="AL60" s="10">
        <v>8766028961</v>
      </c>
    </row>
    <row r="61" spans="1:38" ht="16.5" customHeight="1">
      <c r="A61" s="2">
        <v>60</v>
      </c>
      <c r="B61" s="23" t="str">
        <f t="shared" si="1"/>
        <v>[231630,280944,314272,391782,456916,450174,538054,640714,775527,923806,1486584,1783630,2143068,2567616,3095541,14898421,17863152,21456408,25758078,30899431,31913218,44681064,62546418,87583428,122605691,641363888,769617083,923541747,1108253772,1329900425,2464410875,3450181117,4830244241,6762359664,9467311278]</v>
      </c>
      <c r="C61" s="2"/>
      <c r="D61" s="10">
        <v>231630</v>
      </c>
      <c r="E61" s="10">
        <v>280944</v>
      </c>
      <c r="F61" s="10">
        <v>314272</v>
      </c>
      <c r="G61" s="10">
        <v>391782</v>
      </c>
      <c r="H61" s="10">
        <v>456916</v>
      </c>
      <c r="I61" s="10">
        <v>450174</v>
      </c>
      <c r="J61" s="10">
        <v>538054</v>
      </c>
      <c r="K61" s="10">
        <v>640714</v>
      </c>
      <c r="L61" s="10">
        <v>775527</v>
      </c>
      <c r="M61" s="10">
        <v>923806</v>
      </c>
      <c r="N61" s="10">
        <v>1486584</v>
      </c>
      <c r="O61" s="10">
        <v>1783630</v>
      </c>
      <c r="P61" s="10">
        <v>2143068</v>
      </c>
      <c r="Q61" s="10">
        <v>2567616</v>
      </c>
      <c r="R61" s="10">
        <v>3095541</v>
      </c>
      <c r="S61" s="10">
        <v>14898421</v>
      </c>
      <c r="T61" s="10">
        <v>17863152</v>
      </c>
      <c r="U61" s="10">
        <v>21456408</v>
      </c>
      <c r="V61" s="10">
        <v>25758078</v>
      </c>
      <c r="W61" s="10">
        <v>30899431</v>
      </c>
      <c r="X61" s="10">
        <v>31913218</v>
      </c>
      <c r="Y61" s="10">
        <v>44681064</v>
      </c>
      <c r="Z61" s="10">
        <v>62546418</v>
      </c>
      <c r="AA61" s="10">
        <v>87583428</v>
      </c>
      <c r="AB61" s="10">
        <v>122605691</v>
      </c>
      <c r="AC61" s="10">
        <v>641363888</v>
      </c>
      <c r="AD61" s="10">
        <v>769617083</v>
      </c>
      <c r="AE61" s="10">
        <v>923541747</v>
      </c>
      <c r="AF61" s="10">
        <v>1108253772</v>
      </c>
      <c r="AG61" s="10">
        <v>1329900425</v>
      </c>
      <c r="AH61" s="10">
        <v>2464410875</v>
      </c>
      <c r="AI61" s="10">
        <v>3450181117</v>
      </c>
      <c r="AJ61" s="10">
        <v>4830244241</v>
      </c>
      <c r="AK61" s="10">
        <v>6762359664</v>
      </c>
      <c r="AL61" s="10">
        <v>9467311278</v>
      </c>
    </row>
    <row r="62" spans="1:38" ht="16.5" customHeight="1">
      <c r="A62" s="2">
        <v>61</v>
      </c>
      <c r="B62" s="23" t="str">
        <f t="shared" si="1"/>
        <v>[250160,303420,339414,423125,493469,486188,581098,691971,837569,997710,1605511,1926320,2314513,2773025,3343184,16090295,19292204,23172921,27818724,33371385,34466275,48255549,67550131,94590102,132414146,692672999,831186450,997425087,1196914074,1436292459,2661563745,3726195606,5216663780,7303348437,10224696180]</v>
      </c>
      <c r="C62" s="2"/>
      <c r="D62" s="10">
        <v>250160</v>
      </c>
      <c r="E62" s="10">
        <v>303420</v>
      </c>
      <c r="F62" s="10">
        <v>339414</v>
      </c>
      <c r="G62" s="10">
        <v>423125</v>
      </c>
      <c r="H62" s="10">
        <v>493469</v>
      </c>
      <c r="I62" s="10">
        <v>486188</v>
      </c>
      <c r="J62" s="10">
        <v>581098</v>
      </c>
      <c r="K62" s="10">
        <v>691971</v>
      </c>
      <c r="L62" s="10">
        <v>837569</v>
      </c>
      <c r="M62" s="10">
        <v>997710</v>
      </c>
      <c r="N62" s="10">
        <v>1605511</v>
      </c>
      <c r="O62" s="10">
        <v>1926320</v>
      </c>
      <c r="P62" s="10">
        <v>2314513</v>
      </c>
      <c r="Q62" s="10">
        <v>2773025</v>
      </c>
      <c r="R62" s="10">
        <v>3343184</v>
      </c>
      <c r="S62" s="10">
        <v>16090295</v>
      </c>
      <c r="T62" s="10">
        <v>19292204</v>
      </c>
      <c r="U62" s="10">
        <v>23172921</v>
      </c>
      <c r="V62" s="10">
        <v>27818724</v>
      </c>
      <c r="W62" s="10">
        <v>33371385</v>
      </c>
      <c r="X62" s="10">
        <v>34466275</v>
      </c>
      <c r="Y62" s="10">
        <v>48255549</v>
      </c>
      <c r="Z62" s="10">
        <v>67550131</v>
      </c>
      <c r="AA62" s="10">
        <v>94590102</v>
      </c>
      <c r="AB62" s="10">
        <v>132414146</v>
      </c>
      <c r="AC62" s="10">
        <v>692672999</v>
      </c>
      <c r="AD62" s="10">
        <v>831186450</v>
      </c>
      <c r="AE62" s="10">
        <v>997425087</v>
      </c>
      <c r="AF62" s="10">
        <v>1196914074</v>
      </c>
      <c r="AG62" s="10">
        <v>1436292459</v>
      </c>
      <c r="AH62" s="10">
        <v>2661563745</v>
      </c>
      <c r="AI62" s="10">
        <v>3726195606</v>
      </c>
      <c r="AJ62" s="10">
        <v>5216663780</v>
      </c>
      <c r="AK62" s="10">
        <v>7303348437</v>
      </c>
      <c r="AL62" s="10">
        <v>10224696180</v>
      </c>
    </row>
    <row r="63" spans="1:38" ht="16.5" customHeight="1">
      <c r="A63" s="2">
        <v>62</v>
      </c>
      <c r="B63" s="23" t="str">
        <f t="shared" si="1"/>
        <v>[270173,327694,366567,456975,532947,525083,627586,747329,904575,1077527,1733952,2080426,2499674,2994867,3610639,17377519,20835580,25026755,30044222,36041096,37223577,52115993,72954141,102157310,143007278,748086839,897681366,1077219094,1292667200,1551195856,2874488845,4024291254,5633996882,7887616312,11042671874]</v>
      </c>
      <c r="C63" s="2"/>
      <c r="D63" s="10">
        <v>270173</v>
      </c>
      <c r="E63" s="10">
        <v>327694</v>
      </c>
      <c r="F63" s="10">
        <v>366567</v>
      </c>
      <c r="G63" s="10">
        <v>456975</v>
      </c>
      <c r="H63" s="10">
        <v>532947</v>
      </c>
      <c r="I63" s="10">
        <v>525083</v>
      </c>
      <c r="J63" s="10">
        <v>627586</v>
      </c>
      <c r="K63" s="10">
        <v>747329</v>
      </c>
      <c r="L63" s="10">
        <v>904575</v>
      </c>
      <c r="M63" s="10">
        <v>1077527</v>
      </c>
      <c r="N63" s="10">
        <v>1733952</v>
      </c>
      <c r="O63" s="10">
        <v>2080426</v>
      </c>
      <c r="P63" s="10">
        <v>2499674</v>
      </c>
      <c r="Q63" s="10">
        <v>2994867</v>
      </c>
      <c r="R63" s="10">
        <v>3610639</v>
      </c>
      <c r="S63" s="10">
        <v>17377519</v>
      </c>
      <c r="T63" s="10">
        <v>20835580</v>
      </c>
      <c r="U63" s="10">
        <v>25026755</v>
      </c>
      <c r="V63" s="10">
        <v>30044222</v>
      </c>
      <c r="W63" s="10">
        <v>36041096</v>
      </c>
      <c r="X63" s="10">
        <v>37223577</v>
      </c>
      <c r="Y63" s="10">
        <v>52115993</v>
      </c>
      <c r="Z63" s="10">
        <v>72954141</v>
      </c>
      <c r="AA63" s="10">
        <v>102157310</v>
      </c>
      <c r="AB63" s="10">
        <v>143007278</v>
      </c>
      <c r="AC63" s="10">
        <v>748086839</v>
      </c>
      <c r="AD63" s="10">
        <v>897681366</v>
      </c>
      <c r="AE63" s="10">
        <v>1077219094</v>
      </c>
      <c r="AF63" s="10">
        <v>1292667200</v>
      </c>
      <c r="AG63" s="10">
        <v>1551195856</v>
      </c>
      <c r="AH63" s="10">
        <v>2874488845</v>
      </c>
      <c r="AI63" s="10">
        <v>4024291254</v>
      </c>
      <c r="AJ63" s="10">
        <v>5633996882</v>
      </c>
      <c r="AK63" s="10">
        <v>7887616312</v>
      </c>
      <c r="AL63" s="10">
        <v>11042671874</v>
      </c>
    </row>
    <row r="64" spans="1:38" ht="16.5" customHeight="1">
      <c r="A64" s="2">
        <v>63</v>
      </c>
      <c r="B64" s="23" t="str">
        <f t="shared" si="1"/>
        <v>[291787,353910,395892,493533,575583,567090,677793,807115,976941,1163729,1872668,2246860,2699648,3234456,3899490,18767721,22502426,27028895,32447760,38924384,40201463,56285272,78790472,110329895,154447860,807933786,969495875,1163396622,1396080576,1675291524,3104447953,4346234554,6084716633,8518625617,11926085624]</v>
      </c>
      <c r="C64" s="2"/>
      <c r="D64" s="10">
        <v>291787</v>
      </c>
      <c r="E64" s="10">
        <v>353910</v>
      </c>
      <c r="F64" s="10">
        <v>395892</v>
      </c>
      <c r="G64" s="10">
        <v>493533</v>
      </c>
      <c r="H64" s="10">
        <v>575583</v>
      </c>
      <c r="I64" s="10">
        <v>567090</v>
      </c>
      <c r="J64" s="10">
        <v>677793</v>
      </c>
      <c r="K64" s="10">
        <v>807115</v>
      </c>
      <c r="L64" s="10">
        <v>976941</v>
      </c>
      <c r="M64" s="10">
        <v>1163729</v>
      </c>
      <c r="N64" s="10">
        <v>1872668</v>
      </c>
      <c r="O64" s="10">
        <v>2246860</v>
      </c>
      <c r="P64" s="10">
        <v>2699648</v>
      </c>
      <c r="Q64" s="10">
        <v>3234456</v>
      </c>
      <c r="R64" s="10">
        <v>3899490</v>
      </c>
      <c r="S64" s="10">
        <v>18767721</v>
      </c>
      <c r="T64" s="10">
        <v>22502426</v>
      </c>
      <c r="U64" s="10">
        <v>27028895</v>
      </c>
      <c r="V64" s="10">
        <v>32447760</v>
      </c>
      <c r="W64" s="10">
        <v>38924384</v>
      </c>
      <c r="X64" s="10">
        <v>40201463</v>
      </c>
      <c r="Y64" s="10">
        <v>56285272</v>
      </c>
      <c r="Z64" s="10">
        <v>78790472</v>
      </c>
      <c r="AA64" s="10">
        <v>110329895</v>
      </c>
      <c r="AB64" s="10">
        <v>154447860</v>
      </c>
      <c r="AC64" s="10">
        <v>807933786</v>
      </c>
      <c r="AD64" s="10">
        <v>969495875</v>
      </c>
      <c r="AE64" s="10">
        <v>1163396622</v>
      </c>
      <c r="AF64" s="10">
        <v>1396080576</v>
      </c>
      <c r="AG64" s="10">
        <v>1675291524</v>
      </c>
      <c r="AH64" s="10">
        <v>3104447953</v>
      </c>
      <c r="AI64" s="10">
        <v>4346234554</v>
      </c>
      <c r="AJ64" s="10">
        <v>6084716633</v>
      </c>
      <c r="AK64" s="10">
        <v>8518625617</v>
      </c>
      <c r="AL64" s="10">
        <v>11926085624</v>
      </c>
    </row>
    <row r="65" spans="1:38" ht="16.5" customHeight="1">
      <c r="A65" s="2">
        <v>64</v>
      </c>
      <c r="B65" s="23" t="str">
        <f t="shared" si="1"/>
        <v>[315130,382223,427563,533016,621630,612457,732016,871684,1055096,1256827,2022481,2426609,2915620,3493212,4211449,20269139,24302620,29191207,35043581,42038335,43417580,60788094,85093710,119156287,166803689,872568489,1047055545,1256468352,1507767022,1809314846,3352803789,4693933318,6571493964,9200115666,12880172474]</v>
      </c>
      <c r="C65" s="2"/>
      <c r="D65" s="10">
        <v>315130</v>
      </c>
      <c r="E65" s="10">
        <v>382223</v>
      </c>
      <c r="F65" s="10">
        <v>427563</v>
      </c>
      <c r="G65" s="10">
        <v>533016</v>
      </c>
      <c r="H65" s="10">
        <v>621630</v>
      </c>
      <c r="I65" s="10">
        <v>612457</v>
      </c>
      <c r="J65" s="10">
        <v>732016</v>
      </c>
      <c r="K65" s="10">
        <v>871684</v>
      </c>
      <c r="L65" s="10">
        <v>1055096</v>
      </c>
      <c r="M65" s="10">
        <v>1256827</v>
      </c>
      <c r="N65" s="10">
        <v>2022481</v>
      </c>
      <c r="O65" s="10">
        <v>2426609</v>
      </c>
      <c r="P65" s="10">
        <v>2915620</v>
      </c>
      <c r="Q65" s="10">
        <v>3493212</v>
      </c>
      <c r="R65" s="10">
        <v>4211449</v>
      </c>
      <c r="S65" s="10">
        <v>20269139</v>
      </c>
      <c r="T65" s="10">
        <v>24302620</v>
      </c>
      <c r="U65" s="10">
        <v>29191207</v>
      </c>
      <c r="V65" s="10">
        <v>35043581</v>
      </c>
      <c r="W65" s="10">
        <v>42038335</v>
      </c>
      <c r="X65" s="10">
        <v>43417580</v>
      </c>
      <c r="Y65" s="10">
        <v>60788094</v>
      </c>
      <c r="Z65" s="10">
        <v>85093710</v>
      </c>
      <c r="AA65" s="10">
        <v>119156287</v>
      </c>
      <c r="AB65" s="10">
        <v>166803689</v>
      </c>
      <c r="AC65" s="10">
        <v>872568489</v>
      </c>
      <c r="AD65" s="10">
        <v>1047055545</v>
      </c>
      <c r="AE65" s="10">
        <v>1256468352</v>
      </c>
      <c r="AF65" s="10">
        <v>1507767022</v>
      </c>
      <c r="AG65" s="10">
        <v>1809314846</v>
      </c>
      <c r="AH65" s="10">
        <v>3352803789</v>
      </c>
      <c r="AI65" s="10">
        <v>4693933318</v>
      </c>
      <c r="AJ65" s="10">
        <v>6571493964</v>
      </c>
      <c r="AK65" s="10">
        <v>9200115666</v>
      </c>
      <c r="AL65" s="10">
        <v>12880172474</v>
      </c>
    </row>
    <row r="66" spans="1:38" ht="16.5" customHeight="1">
      <c r="A66" s="2">
        <v>65</v>
      </c>
      <c r="B66" s="23" t="str">
        <f t="shared" si="1"/>
        <v>[340340,412801,461768,575657,671360,661454,790577,941419,1139504,1357373,2184279,2620738,3148870,3772669,4548365,21890670,26246830,31526504,37847067,45401402,46890986,65651142,91901207,128688790,180147984,942373968,1130819989,1356985820,1628388384,1954060034,3621028092,5069447983,7097213481,9936124919,13910586272]</v>
      </c>
      <c r="C66" s="2"/>
      <c r="D66" s="10">
        <v>340340</v>
      </c>
      <c r="E66" s="10">
        <v>412801</v>
      </c>
      <c r="F66" s="10">
        <v>461768</v>
      </c>
      <c r="G66" s="10">
        <v>575657</v>
      </c>
      <c r="H66" s="10">
        <v>671360</v>
      </c>
      <c r="I66" s="10">
        <v>661454</v>
      </c>
      <c r="J66" s="10">
        <v>790577</v>
      </c>
      <c r="K66" s="10">
        <v>941419</v>
      </c>
      <c r="L66" s="10">
        <v>1139504</v>
      </c>
      <c r="M66" s="10">
        <v>1357373</v>
      </c>
      <c r="N66" s="10">
        <v>2184279</v>
      </c>
      <c r="O66" s="10">
        <v>2620738</v>
      </c>
      <c r="P66" s="10">
        <v>3148870</v>
      </c>
      <c r="Q66" s="10">
        <v>3772669</v>
      </c>
      <c r="R66" s="10">
        <v>4548365</v>
      </c>
      <c r="S66" s="10">
        <v>21890670</v>
      </c>
      <c r="T66" s="10">
        <v>26246830</v>
      </c>
      <c r="U66" s="10">
        <v>31526504</v>
      </c>
      <c r="V66" s="10">
        <v>37847067</v>
      </c>
      <c r="W66" s="10">
        <v>45401402</v>
      </c>
      <c r="X66" s="10">
        <v>46890986</v>
      </c>
      <c r="Y66" s="10">
        <v>65651142</v>
      </c>
      <c r="Z66" s="10">
        <v>91901207</v>
      </c>
      <c r="AA66" s="10">
        <v>128688790</v>
      </c>
      <c r="AB66" s="10">
        <v>180147984</v>
      </c>
      <c r="AC66" s="10">
        <v>942373968</v>
      </c>
      <c r="AD66" s="10">
        <v>1130819989</v>
      </c>
      <c r="AE66" s="10">
        <v>1356985820</v>
      </c>
      <c r="AF66" s="10">
        <v>1628388384</v>
      </c>
      <c r="AG66" s="10">
        <v>1954060034</v>
      </c>
      <c r="AH66" s="10">
        <v>3621028092</v>
      </c>
      <c r="AI66" s="10">
        <v>5069447983</v>
      </c>
      <c r="AJ66" s="10">
        <v>7097213481</v>
      </c>
      <c r="AK66" s="10">
        <v>9936124919</v>
      </c>
      <c r="AL66" s="10">
        <v>13910586272</v>
      </c>
    </row>
    <row r="67" spans="1:38" ht="16.5" customHeight="1">
      <c r="A67" s="2">
        <v>66</v>
      </c>
      <c r="B67" s="23" t="str">
        <f>"[" &amp; $D67 &amp; "," &amp; $E67 &amp; "," &amp; $F67 &amp; "," &amp; $G67 &amp; "," &amp; $H67 &amp; "," &amp; $I67 &amp; "," &amp; $J67 &amp; "," &amp; $K67 &amp; "," &amp; $L67 &amp; "," &amp; $M67 &amp; "," &amp; $N67 &amp; "," &amp; $O67 &amp; "," &amp; $P67 &amp; "," &amp; $Q67 &amp; "," &amp; $R67 &amp; "," &amp; $S67 &amp; "," &amp; $T67 &amp; "," &amp; $U67 &amp; "," &amp; $V67 &amp; "," &amp; $W67 &amp; "," &amp; $X67 &amp; "," &amp; $Y67 &amp; "," &amp; $Z67 &amp; "," &amp; $AA67 &amp; "," &amp; $AB67 &amp; "," &amp; $AC67 &amp; "," &amp; $AD67 &amp; "," &amp; $AE67 &amp; "," &amp; $AF67 &amp; "," &amp; $AG67 &amp; "," &amp; $AH67  &amp; "," &amp; $AI67 &amp; "," &amp; $AJ67 &amp; "," &amp; $AK67 &amp; "," &amp; $AL67 &amp; "]"</f>
        <v>[367567,445825,498709,621710,725069,714370,853823,1016733,1230664,1465963,2359021,2830397,3400780,4074483,4912234,23641924,28346576,34048624,40874832,49033514,50642265,70903233,99253304,138983893,194559823,1017763885,1221285588,1465544686,1758659455,2110384837,3910710339,5475003822,7664990559,10731014913,15023433174]</v>
      </c>
      <c r="C67" s="2"/>
      <c r="D67" s="10">
        <v>367567</v>
      </c>
      <c r="E67" s="10">
        <v>445825</v>
      </c>
      <c r="F67" s="10">
        <v>498709</v>
      </c>
      <c r="G67" s="10">
        <v>621710</v>
      </c>
      <c r="H67" s="10">
        <v>725069</v>
      </c>
      <c r="I67" s="10">
        <v>714370</v>
      </c>
      <c r="J67" s="10">
        <v>853823</v>
      </c>
      <c r="K67" s="10">
        <v>1016733</v>
      </c>
      <c r="L67" s="10">
        <v>1230664</v>
      </c>
      <c r="M67" s="10">
        <v>1465963</v>
      </c>
      <c r="N67" s="10">
        <v>2359021</v>
      </c>
      <c r="O67" s="10">
        <v>2830397</v>
      </c>
      <c r="P67" s="10">
        <v>3400780</v>
      </c>
      <c r="Q67" s="10">
        <v>4074483</v>
      </c>
      <c r="R67" s="10">
        <v>4912234</v>
      </c>
      <c r="S67" s="10">
        <v>23641924</v>
      </c>
      <c r="T67" s="10">
        <v>28346576</v>
      </c>
      <c r="U67" s="10">
        <v>34048624</v>
      </c>
      <c r="V67" s="10">
        <v>40874832</v>
      </c>
      <c r="W67" s="10">
        <v>49033514</v>
      </c>
      <c r="X67" s="10">
        <v>50642265</v>
      </c>
      <c r="Y67" s="10">
        <v>70903233</v>
      </c>
      <c r="Z67" s="10">
        <v>99253304</v>
      </c>
      <c r="AA67" s="10">
        <v>138983893</v>
      </c>
      <c r="AB67" s="10">
        <v>194559823</v>
      </c>
      <c r="AC67" s="10">
        <v>1017763885</v>
      </c>
      <c r="AD67" s="10">
        <v>1221285588</v>
      </c>
      <c r="AE67" s="10">
        <v>1465544686</v>
      </c>
      <c r="AF67" s="10">
        <v>1758659455</v>
      </c>
      <c r="AG67" s="10">
        <v>2110384837</v>
      </c>
      <c r="AH67" s="10">
        <v>3910710339</v>
      </c>
      <c r="AI67" s="10">
        <v>5475003822</v>
      </c>
      <c r="AJ67" s="10">
        <v>7664990559</v>
      </c>
      <c r="AK67" s="10">
        <v>10731014913</v>
      </c>
      <c r="AL67" s="10">
        <v>15023433174</v>
      </c>
    </row>
    <row r="68" spans="1:38" ht="16.5" customHeight="1">
      <c r="A68" s="2">
        <v>67</v>
      </c>
      <c r="B68" s="23" t="str">
        <f t="shared" ref="B68:B99" si="2">"[" &amp; $D68 &amp; "," &amp; $E68 &amp; "," &amp; $F68 &amp; "," &amp; $G68 &amp; "," &amp; $H68 &amp; "," &amp; $I68 &amp; "," &amp; $J68 &amp; "," &amp; $K68 &amp; "," &amp; $L68 &amp; "," &amp; $M68 &amp; "," &amp; $N68 &amp; "," &amp; $O68 &amp; "," &amp; $P68 &amp; "," &amp; $Q68 &amp; "," &amp; $R68 &amp; "," &amp; $S68 &amp; "," &amp; $T68 &amp; "," &amp; $U68 &amp; "," &amp; $V68 &amp; "," &amp; $W68 &amp; "," &amp; $X68 &amp; "," &amp; $Y68 &amp; "," &amp; $Z68 &amp; "," &amp; $AA68 &amp; "," &amp; $AB68 &amp; "," &amp; $AC68 &amp; "," &amp; $AD68 &amp; "," &amp; $AE68 &amp; "," &amp; $AF68 &amp; "," &amp; $AG68 &amp; "," &amp; $AH68 &amp; "," &amp; $AI68 &amp; "," &amp; $AJ68 &amp; "," &amp; $AK68 &amp; "," &amp; $AL68 &amp; "]"</f>
        <v>[396972,481491,538606,671447,783075,771520,922129,1098072,1329117,1583240,2547743,3056829,3672842,4400442,5305213,25533278,30614302,36772514,44144819,52956195,54693646,76575492,107193568,150102604,210124609,1099184996,1318988435,1582788261,1899352211,2279215624,4223567166,5913004128,8278189804,11589496106,16225307828]</v>
      </c>
      <c r="C68" s="2"/>
      <c r="D68" s="10">
        <v>396972</v>
      </c>
      <c r="E68" s="10">
        <v>481491</v>
      </c>
      <c r="F68" s="10">
        <v>538606</v>
      </c>
      <c r="G68" s="10">
        <v>671447</v>
      </c>
      <c r="H68" s="10">
        <v>783075</v>
      </c>
      <c r="I68" s="10">
        <v>771520</v>
      </c>
      <c r="J68" s="10">
        <v>922129</v>
      </c>
      <c r="K68" s="10">
        <v>1098072</v>
      </c>
      <c r="L68" s="10">
        <v>1329117</v>
      </c>
      <c r="M68" s="10">
        <v>1583240</v>
      </c>
      <c r="N68" s="10">
        <v>2547743</v>
      </c>
      <c r="O68" s="10">
        <v>3056829</v>
      </c>
      <c r="P68" s="10">
        <v>3672842</v>
      </c>
      <c r="Q68" s="10">
        <v>4400442</v>
      </c>
      <c r="R68" s="10">
        <v>5305213</v>
      </c>
      <c r="S68" s="10">
        <v>25533278</v>
      </c>
      <c r="T68" s="10">
        <v>30614302</v>
      </c>
      <c r="U68" s="10">
        <v>36772514</v>
      </c>
      <c r="V68" s="10">
        <v>44144819</v>
      </c>
      <c r="W68" s="10">
        <v>52956195</v>
      </c>
      <c r="X68" s="10">
        <v>54693646</v>
      </c>
      <c r="Y68" s="10">
        <v>76575492</v>
      </c>
      <c r="Z68" s="10">
        <v>107193568</v>
      </c>
      <c r="AA68" s="10">
        <v>150102604</v>
      </c>
      <c r="AB68" s="10">
        <v>210124609</v>
      </c>
      <c r="AC68" s="10">
        <v>1099184996</v>
      </c>
      <c r="AD68" s="10">
        <v>1318988435</v>
      </c>
      <c r="AE68" s="10">
        <v>1582788261</v>
      </c>
      <c r="AF68" s="10">
        <v>1899352211</v>
      </c>
      <c r="AG68" s="10">
        <v>2279215624</v>
      </c>
      <c r="AH68" s="10">
        <v>4223567166</v>
      </c>
      <c r="AI68" s="10">
        <v>5913004128</v>
      </c>
      <c r="AJ68" s="10">
        <v>8278189804</v>
      </c>
      <c r="AK68" s="10">
        <v>11589496106</v>
      </c>
      <c r="AL68" s="10">
        <v>16225307828</v>
      </c>
    </row>
    <row r="69" spans="1:38" ht="16.5" customHeight="1">
      <c r="A69" s="2">
        <v>68</v>
      </c>
      <c r="B69" s="23" t="str">
        <f t="shared" si="2"/>
        <v>[428730,520010,581694,725163,845721,833242,995899,1185918,1435446,1709899,2751562,3301375,3966669,4752477,5729630,27575940,33063446,39714315,47676405,57192691,59069138,82701531,115769053,162110812,226934578,1187119796,1424507510,1709411322,2051300388,2461552874,4561452539,6386044458,8940444988,12516655794,17523332454]</v>
      </c>
      <c r="C69" s="2"/>
      <c r="D69" s="10">
        <v>428730</v>
      </c>
      <c r="E69" s="10">
        <v>520010</v>
      </c>
      <c r="F69" s="10">
        <v>581694</v>
      </c>
      <c r="G69" s="10">
        <v>725163</v>
      </c>
      <c r="H69" s="10">
        <v>845721</v>
      </c>
      <c r="I69" s="10">
        <v>833242</v>
      </c>
      <c r="J69" s="10">
        <v>995899</v>
      </c>
      <c r="K69" s="10">
        <v>1185918</v>
      </c>
      <c r="L69" s="10">
        <v>1435446</v>
      </c>
      <c r="M69" s="10">
        <v>1709899</v>
      </c>
      <c r="N69" s="10">
        <v>2751562</v>
      </c>
      <c r="O69" s="10">
        <v>3301375</v>
      </c>
      <c r="P69" s="10">
        <v>3966669</v>
      </c>
      <c r="Q69" s="10">
        <v>4752477</v>
      </c>
      <c r="R69" s="10">
        <v>5729630</v>
      </c>
      <c r="S69" s="10">
        <v>27575940</v>
      </c>
      <c r="T69" s="10">
        <v>33063446</v>
      </c>
      <c r="U69" s="10">
        <v>39714315</v>
      </c>
      <c r="V69" s="10">
        <v>47676405</v>
      </c>
      <c r="W69" s="10">
        <v>57192691</v>
      </c>
      <c r="X69" s="10">
        <v>59069138</v>
      </c>
      <c r="Y69" s="10">
        <v>82701531</v>
      </c>
      <c r="Z69" s="10">
        <v>115769053</v>
      </c>
      <c r="AA69" s="10">
        <v>162110812</v>
      </c>
      <c r="AB69" s="10">
        <v>226934578</v>
      </c>
      <c r="AC69" s="10">
        <v>1187119796</v>
      </c>
      <c r="AD69" s="10">
        <v>1424507510</v>
      </c>
      <c r="AE69" s="10">
        <v>1709411322</v>
      </c>
      <c r="AF69" s="10">
        <v>2051300388</v>
      </c>
      <c r="AG69" s="10">
        <v>2461552874</v>
      </c>
      <c r="AH69" s="10">
        <v>4561452539</v>
      </c>
      <c r="AI69" s="10">
        <v>6386044458</v>
      </c>
      <c r="AJ69" s="10">
        <v>8940444988</v>
      </c>
      <c r="AK69" s="10">
        <v>12516655794</v>
      </c>
      <c r="AL69" s="10">
        <v>17523332454</v>
      </c>
    </row>
    <row r="70" spans="1:38" ht="16.5" customHeight="1">
      <c r="A70" s="2">
        <v>69</v>
      </c>
      <c r="B70" s="23" t="str">
        <f t="shared" si="2"/>
        <v>[463028,561611,628230,783176,913379,899901,1075571,1280791,1550282,1846691,2971687,3565485,4284003,5132675,6188000,29782015,35708522,42891460,51490517,61768106,63794669,89317653,125030577,175079677,245089344,1282089380,1538468111,1846164228,2215404419,2658477104,4926368742,6896928015,9655680587,13517988258,18925199050]</v>
      </c>
      <c r="C70" s="2"/>
      <c r="D70" s="10">
        <v>463028</v>
      </c>
      <c r="E70" s="10">
        <v>561611</v>
      </c>
      <c r="F70" s="10">
        <v>628230</v>
      </c>
      <c r="G70" s="10">
        <v>783176</v>
      </c>
      <c r="H70" s="10">
        <v>913379</v>
      </c>
      <c r="I70" s="10">
        <v>899901</v>
      </c>
      <c r="J70" s="10">
        <v>1075571</v>
      </c>
      <c r="K70" s="10">
        <v>1280791</v>
      </c>
      <c r="L70" s="10">
        <v>1550282</v>
      </c>
      <c r="M70" s="10">
        <v>1846691</v>
      </c>
      <c r="N70" s="10">
        <v>2971687</v>
      </c>
      <c r="O70" s="10">
        <v>3565485</v>
      </c>
      <c r="P70" s="10">
        <v>4284003</v>
      </c>
      <c r="Q70" s="10">
        <v>5132675</v>
      </c>
      <c r="R70" s="10">
        <v>6188000</v>
      </c>
      <c r="S70" s="10">
        <v>29782015</v>
      </c>
      <c r="T70" s="10">
        <v>35708522</v>
      </c>
      <c r="U70" s="10">
        <v>42891460</v>
      </c>
      <c r="V70" s="10">
        <v>51490517</v>
      </c>
      <c r="W70" s="10">
        <v>61768106</v>
      </c>
      <c r="X70" s="10">
        <v>63794669</v>
      </c>
      <c r="Y70" s="10">
        <v>89317653</v>
      </c>
      <c r="Z70" s="10">
        <v>125030577</v>
      </c>
      <c r="AA70" s="10">
        <v>175079677</v>
      </c>
      <c r="AB70" s="10">
        <v>245089344</v>
      </c>
      <c r="AC70" s="10">
        <v>1282089380</v>
      </c>
      <c r="AD70" s="10">
        <v>1538468111</v>
      </c>
      <c r="AE70" s="10">
        <v>1846164228</v>
      </c>
      <c r="AF70" s="10">
        <v>2215404419</v>
      </c>
      <c r="AG70" s="10">
        <v>2658477104</v>
      </c>
      <c r="AH70" s="10">
        <v>4926368742</v>
      </c>
      <c r="AI70" s="10">
        <v>6896928015</v>
      </c>
      <c r="AJ70" s="10">
        <v>9655680587</v>
      </c>
      <c r="AK70" s="10">
        <v>13517988258</v>
      </c>
      <c r="AL70" s="10">
        <v>18925199050</v>
      </c>
    </row>
    <row r="71" spans="1:38" ht="16.5" customHeight="1">
      <c r="A71" s="2">
        <v>70</v>
      </c>
      <c r="B71" s="23" t="str">
        <f t="shared" si="2"/>
        <v>[500070,606540,678488,845830,986449,971893,1161617,1383254,1674305,1994426,3209422,3850724,4626723,5543289,6683040,32164576,38565204,46322777,55609758,66709554,68898243,96463065,135033023,189086051,264696492,1384656530,1661545560,1993857366,2392636773,2871155272,5320478241,7448682256,10428135034,14599427319,20439214974]</v>
      </c>
      <c r="C71" s="2"/>
      <c r="D71" s="10">
        <v>500070</v>
      </c>
      <c r="E71" s="10">
        <v>606540</v>
      </c>
      <c r="F71" s="10">
        <v>678488</v>
      </c>
      <c r="G71" s="10">
        <v>845830</v>
      </c>
      <c r="H71" s="10">
        <v>986449</v>
      </c>
      <c r="I71" s="10">
        <v>971893</v>
      </c>
      <c r="J71" s="10">
        <v>1161617</v>
      </c>
      <c r="K71" s="10">
        <v>1383254</v>
      </c>
      <c r="L71" s="10">
        <v>1674305</v>
      </c>
      <c r="M71" s="10">
        <v>1994426</v>
      </c>
      <c r="N71" s="10">
        <v>3209422</v>
      </c>
      <c r="O71" s="10">
        <v>3850724</v>
      </c>
      <c r="P71" s="10">
        <v>4626723</v>
      </c>
      <c r="Q71" s="10">
        <v>5543289</v>
      </c>
      <c r="R71" s="10">
        <v>6683040</v>
      </c>
      <c r="S71" s="10">
        <v>32164576</v>
      </c>
      <c r="T71" s="10">
        <v>38565204</v>
      </c>
      <c r="U71" s="10">
        <v>46322777</v>
      </c>
      <c r="V71" s="10">
        <v>55609758</v>
      </c>
      <c r="W71" s="10">
        <v>66709554</v>
      </c>
      <c r="X71" s="10">
        <v>68898243</v>
      </c>
      <c r="Y71" s="10">
        <v>96463065</v>
      </c>
      <c r="Z71" s="10">
        <v>135033023</v>
      </c>
      <c r="AA71" s="10">
        <v>189086051</v>
      </c>
      <c r="AB71" s="10">
        <v>264696492</v>
      </c>
      <c r="AC71" s="10">
        <v>1384656530</v>
      </c>
      <c r="AD71" s="10">
        <v>1661545560</v>
      </c>
      <c r="AE71" s="10">
        <v>1993857366</v>
      </c>
      <c r="AF71" s="10">
        <v>2392636773</v>
      </c>
      <c r="AG71" s="10">
        <v>2871155272</v>
      </c>
      <c r="AH71" s="10">
        <v>5320478241</v>
      </c>
      <c r="AI71" s="10">
        <v>7448682256</v>
      </c>
      <c r="AJ71" s="10">
        <v>10428135034</v>
      </c>
      <c r="AK71" s="10">
        <v>14599427319</v>
      </c>
      <c r="AL71" s="10">
        <v>20439214974</v>
      </c>
    </row>
    <row r="72" spans="1:38" ht="16.5" customHeight="1">
      <c r="A72" s="2">
        <v>71</v>
      </c>
      <c r="B72" s="23" t="str">
        <f t="shared" si="2"/>
        <v>[540076,655063,732767,913496,1065365,1049644,1254546,1493914,1808249,2153980,3466176,4158782,4996861,5986752,7217683,34737742,41650420,50028599,60058539,72046318,74410102,104180110,145835665,204212935,285872211,1495429052,1794469205,2153365955,2584047715,3100847694,5746116500,8044576836,11262385837,15767381505,22074352172]</v>
      </c>
      <c r="C72" s="2"/>
      <c r="D72" s="10">
        <v>540076</v>
      </c>
      <c r="E72" s="10">
        <v>655063</v>
      </c>
      <c r="F72" s="10">
        <v>732767</v>
      </c>
      <c r="G72" s="10">
        <v>913496</v>
      </c>
      <c r="H72" s="10">
        <v>1065365</v>
      </c>
      <c r="I72" s="10">
        <v>1049644</v>
      </c>
      <c r="J72" s="10">
        <v>1254546</v>
      </c>
      <c r="K72" s="10">
        <v>1493914</v>
      </c>
      <c r="L72" s="10">
        <v>1808249</v>
      </c>
      <c r="M72" s="10">
        <v>2153980</v>
      </c>
      <c r="N72" s="10">
        <v>3466176</v>
      </c>
      <c r="O72" s="10">
        <v>4158782</v>
      </c>
      <c r="P72" s="10">
        <v>4996861</v>
      </c>
      <c r="Q72" s="10">
        <v>5986752</v>
      </c>
      <c r="R72" s="10">
        <v>7217683</v>
      </c>
      <c r="S72" s="10">
        <v>34737742</v>
      </c>
      <c r="T72" s="10">
        <v>41650420</v>
      </c>
      <c r="U72" s="10">
        <v>50028599</v>
      </c>
      <c r="V72" s="10">
        <v>60058539</v>
      </c>
      <c r="W72" s="10">
        <v>72046318</v>
      </c>
      <c r="X72" s="10">
        <v>74410102</v>
      </c>
      <c r="Y72" s="10">
        <v>104180110</v>
      </c>
      <c r="Z72" s="10">
        <v>145835665</v>
      </c>
      <c r="AA72" s="10">
        <v>204212935</v>
      </c>
      <c r="AB72" s="10">
        <v>285872211</v>
      </c>
      <c r="AC72" s="10">
        <v>1495429052</v>
      </c>
      <c r="AD72" s="10">
        <v>1794469205</v>
      </c>
      <c r="AE72" s="10">
        <v>2153365955</v>
      </c>
      <c r="AF72" s="10">
        <v>2584047715</v>
      </c>
      <c r="AG72" s="10">
        <v>3100847694</v>
      </c>
      <c r="AH72" s="10">
        <v>5746116500</v>
      </c>
      <c r="AI72" s="10">
        <v>8044576836</v>
      </c>
      <c r="AJ72" s="10">
        <v>11262385837</v>
      </c>
      <c r="AK72" s="10">
        <v>15767381505</v>
      </c>
      <c r="AL72" s="10">
        <v>22074352172</v>
      </c>
    </row>
    <row r="73" spans="1:38" ht="16.5" customHeight="1">
      <c r="A73" s="2">
        <v>72</v>
      </c>
      <c r="B73" s="23" t="str">
        <f t="shared" si="2"/>
        <v>[583282,707468,791388,986576,1150594,1133616,1354910,1613427,1952909,2326298,3743470,4491485,5396610,6465692,7795098,37516761,44982454,54030887,64863222,77810023,80362910,112514519,157502518,220549970,308741988,1615063376,1938026741,2325635231,2790771532,3348915510,6205805820,8688142983,12163376704,17028772025,23840300346]</v>
      </c>
      <c r="C73" s="2"/>
      <c r="D73" s="10">
        <v>583282</v>
      </c>
      <c r="E73" s="10">
        <v>707468</v>
      </c>
      <c r="F73" s="10">
        <v>791388</v>
      </c>
      <c r="G73" s="10">
        <v>986576</v>
      </c>
      <c r="H73" s="10">
        <v>1150594</v>
      </c>
      <c r="I73" s="10">
        <v>1133616</v>
      </c>
      <c r="J73" s="10">
        <v>1354910</v>
      </c>
      <c r="K73" s="10">
        <v>1613427</v>
      </c>
      <c r="L73" s="10">
        <v>1952909</v>
      </c>
      <c r="M73" s="10">
        <v>2326298</v>
      </c>
      <c r="N73" s="10">
        <v>3743470</v>
      </c>
      <c r="O73" s="10">
        <v>4491485</v>
      </c>
      <c r="P73" s="10">
        <v>5396610</v>
      </c>
      <c r="Q73" s="10">
        <v>6465692</v>
      </c>
      <c r="R73" s="10">
        <v>7795098</v>
      </c>
      <c r="S73" s="10">
        <v>37516761</v>
      </c>
      <c r="T73" s="10">
        <v>44982454</v>
      </c>
      <c r="U73" s="10">
        <v>54030887</v>
      </c>
      <c r="V73" s="10">
        <v>64863222</v>
      </c>
      <c r="W73" s="10">
        <v>77810023</v>
      </c>
      <c r="X73" s="10">
        <v>80362910</v>
      </c>
      <c r="Y73" s="10">
        <v>112514519</v>
      </c>
      <c r="Z73" s="10">
        <v>157502518</v>
      </c>
      <c r="AA73" s="10">
        <v>220549970</v>
      </c>
      <c r="AB73" s="10">
        <v>308741988</v>
      </c>
      <c r="AC73" s="10">
        <v>1615063376</v>
      </c>
      <c r="AD73" s="10">
        <v>1938026741</v>
      </c>
      <c r="AE73" s="10">
        <v>2325635231</v>
      </c>
      <c r="AF73" s="10">
        <v>2790771532</v>
      </c>
      <c r="AG73" s="10">
        <v>3348915510</v>
      </c>
      <c r="AH73" s="10">
        <v>6205805820</v>
      </c>
      <c r="AI73" s="10">
        <v>8688142983</v>
      </c>
      <c r="AJ73" s="10">
        <v>12163376704</v>
      </c>
      <c r="AK73" s="10">
        <v>17028772025</v>
      </c>
      <c r="AL73" s="10">
        <v>23840300346</v>
      </c>
    </row>
    <row r="74" spans="1:38" ht="16.5" customHeight="1">
      <c r="A74" s="2">
        <v>73</v>
      </c>
      <c r="B74" s="23" t="str">
        <f t="shared" si="2"/>
        <v>[629945,764065,854699,1065502,1242642,1224305,1463303,1742501,2109142,2512402,4042948,4850804,5828339,6982947,8418706,40518102,48581050,58353358,70052280,84034825,86791943,121515681,170102719,238193968,333441347,1744268446,2093068880,2511686049,3014033255,3616828751,6702270286,9383194422,13136446840,18391073787,25747524374]</v>
      </c>
      <c r="C74" s="2"/>
      <c r="D74" s="10">
        <v>629945</v>
      </c>
      <c r="E74" s="10">
        <v>764065</v>
      </c>
      <c r="F74" s="10">
        <v>854699</v>
      </c>
      <c r="G74" s="10">
        <v>1065502</v>
      </c>
      <c r="H74" s="10">
        <v>1242642</v>
      </c>
      <c r="I74" s="10">
        <v>1224305</v>
      </c>
      <c r="J74" s="10">
        <v>1463303</v>
      </c>
      <c r="K74" s="10">
        <v>1742501</v>
      </c>
      <c r="L74" s="10">
        <v>2109142</v>
      </c>
      <c r="M74" s="10">
        <v>2512402</v>
      </c>
      <c r="N74" s="10">
        <v>4042948</v>
      </c>
      <c r="O74" s="10">
        <v>4850804</v>
      </c>
      <c r="P74" s="10">
        <v>5828339</v>
      </c>
      <c r="Q74" s="10">
        <v>6982947</v>
      </c>
      <c r="R74" s="10">
        <v>8418706</v>
      </c>
      <c r="S74" s="10">
        <v>40518102</v>
      </c>
      <c r="T74" s="10">
        <v>48581050</v>
      </c>
      <c r="U74" s="10">
        <v>58353358</v>
      </c>
      <c r="V74" s="10">
        <v>70052280</v>
      </c>
      <c r="W74" s="10">
        <v>84034825</v>
      </c>
      <c r="X74" s="10">
        <v>86791943</v>
      </c>
      <c r="Y74" s="10">
        <v>121515681</v>
      </c>
      <c r="Z74" s="10">
        <v>170102719</v>
      </c>
      <c r="AA74" s="10">
        <v>238193968</v>
      </c>
      <c r="AB74" s="10">
        <v>333441347</v>
      </c>
      <c r="AC74" s="10">
        <v>1744268446</v>
      </c>
      <c r="AD74" s="10">
        <v>2093068880</v>
      </c>
      <c r="AE74" s="10">
        <v>2511686049</v>
      </c>
      <c r="AF74" s="10">
        <v>3014033255</v>
      </c>
      <c r="AG74" s="10">
        <v>3616828751</v>
      </c>
      <c r="AH74" s="10">
        <v>6702270286</v>
      </c>
      <c r="AI74" s="10">
        <v>9383194422</v>
      </c>
      <c r="AJ74" s="10">
        <v>13136446840</v>
      </c>
      <c r="AK74" s="10">
        <v>18391073787</v>
      </c>
      <c r="AL74" s="10">
        <v>25747524374</v>
      </c>
    </row>
    <row r="75" spans="1:38" ht="16.5" customHeight="1">
      <c r="A75" s="2">
        <v>74</v>
      </c>
      <c r="B75" s="23" t="str">
        <f t="shared" si="2"/>
        <v>[680341,825190,923075,1150742,1342053,1322249,1580367,1881901,2277873,2713394,4366384,5238868,6294606,7541583,9092202,43759550,52467534,63021627,75656462,90757611,93735298,131236935,183710937,257249485,360116655,1883809922,2260514390,2712620933,3255155915,3906175051,7238451909,10133849976,14187362587,19862359690,27807326324]</v>
      </c>
      <c r="C75" s="2"/>
      <c r="D75" s="10">
        <v>680341</v>
      </c>
      <c r="E75" s="10">
        <v>825190</v>
      </c>
      <c r="F75" s="10">
        <v>923075</v>
      </c>
      <c r="G75" s="10">
        <v>1150742</v>
      </c>
      <c r="H75" s="10">
        <v>1342053</v>
      </c>
      <c r="I75" s="10">
        <v>1322249</v>
      </c>
      <c r="J75" s="10">
        <v>1580367</v>
      </c>
      <c r="K75" s="10">
        <v>1881901</v>
      </c>
      <c r="L75" s="10">
        <v>2277873</v>
      </c>
      <c r="M75" s="10">
        <v>2713394</v>
      </c>
      <c r="N75" s="10">
        <v>4366384</v>
      </c>
      <c r="O75" s="10">
        <v>5238868</v>
      </c>
      <c r="P75" s="10">
        <v>6294606</v>
      </c>
      <c r="Q75" s="10">
        <v>7541583</v>
      </c>
      <c r="R75" s="10">
        <v>9092202</v>
      </c>
      <c r="S75" s="10">
        <v>43759550</v>
      </c>
      <c r="T75" s="10">
        <v>52467534</v>
      </c>
      <c r="U75" s="10">
        <v>63021627</v>
      </c>
      <c r="V75" s="10">
        <v>75656462</v>
      </c>
      <c r="W75" s="10">
        <v>90757611</v>
      </c>
      <c r="X75" s="10">
        <v>93735298</v>
      </c>
      <c r="Y75" s="10">
        <v>131236935</v>
      </c>
      <c r="Z75" s="10">
        <v>183710937</v>
      </c>
      <c r="AA75" s="10">
        <v>257249485</v>
      </c>
      <c r="AB75" s="10">
        <v>360116655</v>
      </c>
      <c r="AC75" s="10">
        <v>1883809922</v>
      </c>
      <c r="AD75" s="10">
        <v>2260514390</v>
      </c>
      <c r="AE75" s="10">
        <v>2712620933</v>
      </c>
      <c r="AF75" s="10">
        <v>3255155915</v>
      </c>
      <c r="AG75" s="10">
        <v>3906175051</v>
      </c>
      <c r="AH75" s="10">
        <v>7238451909</v>
      </c>
      <c r="AI75" s="10">
        <v>10133849976</v>
      </c>
      <c r="AJ75" s="10">
        <v>14187362587</v>
      </c>
      <c r="AK75" s="10">
        <v>19862359690</v>
      </c>
      <c r="AL75" s="10">
        <v>27807326324</v>
      </c>
    </row>
    <row r="76" spans="1:38" ht="16.5" customHeight="1">
      <c r="A76" s="2">
        <v>75</v>
      </c>
      <c r="B76" s="23" t="str">
        <f t="shared" si="2"/>
        <v>[734768,891205,996921,1242801,1449417,1428029,1706796,2032453,2460103,2930466,4715695,5657977,6798174,8144910,9819578,47260314,56664937,68063357,81708979,98018220,101234122,141735890,198407812,277829444,388925987,2034514716,2441355541,2929630608,3515568388,4218669055,7817528062,10944557974,15322351594,21451348465,30031912430]</v>
      </c>
      <c r="C76" s="2"/>
      <c r="D76" s="10">
        <v>734768</v>
      </c>
      <c r="E76" s="10">
        <v>891205</v>
      </c>
      <c r="F76" s="10">
        <v>996921</v>
      </c>
      <c r="G76" s="10">
        <v>1242801</v>
      </c>
      <c r="H76" s="10">
        <v>1449417</v>
      </c>
      <c r="I76" s="10">
        <v>1428029</v>
      </c>
      <c r="J76" s="10">
        <v>1706796</v>
      </c>
      <c r="K76" s="10">
        <v>2032453</v>
      </c>
      <c r="L76" s="10">
        <v>2460103</v>
      </c>
      <c r="M76" s="10">
        <v>2930466</v>
      </c>
      <c r="N76" s="10">
        <v>4715695</v>
      </c>
      <c r="O76" s="10">
        <v>5657977</v>
      </c>
      <c r="P76" s="10">
        <v>6798174</v>
      </c>
      <c r="Q76" s="10">
        <v>8144910</v>
      </c>
      <c r="R76" s="10">
        <v>9819578</v>
      </c>
      <c r="S76" s="10">
        <v>47260314</v>
      </c>
      <c r="T76" s="10">
        <v>56664937</v>
      </c>
      <c r="U76" s="10">
        <v>68063357</v>
      </c>
      <c r="V76" s="10">
        <v>81708979</v>
      </c>
      <c r="W76" s="10">
        <v>98018220</v>
      </c>
      <c r="X76" s="10">
        <v>101234122</v>
      </c>
      <c r="Y76" s="10">
        <v>141735890</v>
      </c>
      <c r="Z76" s="10">
        <v>198407812</v>
      </c>
      <c r="AA76" s="10">
        <v>277829444</v>
      </c>
      <c r="AB76" s="10">
        <v>388925987</v>
      </c>
      <c r="AC76" s="10">
        <v>2034514716</v>
      </c>
      <c r="AD76" s="10">
        <v>2441355541</v>
      </c>
      <c r="AE76" s="10">
        <v>2929630608</v>
      </c>
      <c r="AF76" s="10">
        <v>3515568388</v>
      </c>
      <c r="AG76" s="10">
        <v>4218669055</v>
      </c>
      <c r="AH76" s="10">
        <v>7817528062</v>
      </c>
      <c r="AI76" s="10">
        <v>10944557974</v>
      </c>
      <c r="AJ76" s="10">
        <v>15322351594</v>
      </c>
      <c r="AK76" s="10">
        <v>21451348465</v>
      </c>
      <c r="AL76" s="10">
        <v>30031912430</v>
      </c>
    </row>
    <row r="77" spans="1:38" ht="16.5" customHeight="1">
      <c r="A77" s="2">
        <v>76</v>
      </c>
      <c r="B77" s="23" t="str">
        <f t="shared" si="2"/>
        <v>[793549,962501,1076675,1342225,1565370,1542271,1843340,2195049,2656911,3164903,5092951,6110615,7342028,8796503,10605144,51041139,61198132,73508426,88245697,105859678,109332852,153074761,214280437,300055800,420040066,2197275893,2636663984,3164001057,3796813859,4556162579,8442930307,11820122612,16548139722,23167456342,32434465424]</v>
      </c>
      <c r="C77" s="2"/>
      <c r="D77" s="10">
        <v>793549</v>
      </c>
      <c r="E77" s="10">
        <v>962501</v>
      </c>
      <c r="F77" s="10">
        <v>1076675</v>
      </c>
      <c r="G77" s="10">
        <v>1342225</v>
      </c>
      <c r="H77" s="10">
        <v>1565370</v>
      </c>
      <c r="I77" s="10">
        <v>1542271</v>
      </c>
      <c r="J77" s="10">
        <v>1843340</v>
      </c>
      <c r="K77" s="10">
        <v>2195049</v>
      </c>
      <c r="L77" s="10">
        <v>2656911</v>
      </c>
      <c r="M77" s="10">
        <v>3164903</v>
      </c>
      <c r="N77" s="10">
        <v>5092951</v>
      </c>
      <c r="O77" s="10">
        <v>6110615</v>
      </c>
      <c r="P77" s="10">
        <v>7342028</v>
      </c>
      <c r="Q77" s="10">
        <v>8796503</v>
      </c>
      <c r="R77" s="10">
        <v>10605144</v>
      </c>
      <c r="S77" s="10">
        <v>51041139</v>
      </c>
      <c r="T77" s="10">
        <v>61198132</v>
      </c>
      <c r="U77" s="10">
        <v>73508426</v>
      </c>
      <c r="V77" s="10">
        <v>88245697</v>
      </c>
      <c r="W77" s="10">
        <v>105859678</v>
      </c>
      <c r="X77" s="10">
        <v>109332852</v>
      </c>
      <c r="Y77" s="10">
        <v>153074761</v>
      </c>
      <c r="Z77" s="10">
        <v>214280437</v>
      </c>
      <c r="AA77" s="10">
        <v>300055800</v>
      </c>
      <c r="AB77" s="10">
        <v>420040066</v>
      </c>
      <c r="AC77" s="10">
        <v>2197275893</v>
      </c>
      <c r="AD77" s="10">
        <v>2636663984</v>
      </c>
      <c r="AE77" s="10">
        <v>3164001057</v>
      </c>
      <c r="AF77" s="10">
        <v>3796813859</v>
      </c>
      <c r="AG77" s="10">
        <v>4556162579</v>
      </c>
      <c r="AH77" s="10">
        <v>8442930307</v>
      </c>
      <c r="AI77" s="10">
        <v>11820122612</v>
      </c>
      <c r="AJ77" s="10">
        <v>16548139722</v>
      </c>
      <c r="AK77" s="10">
        <v>23167456342</v>
      </c>
      <c r="AL77" s="10">
        <v>32434465424</v>
      </c>
    </row>
    <row r="78" spans="1:38" ht="16.5" customHeight="1">
      <c r="A78" s="2">
        <v>77</v>
      </c>
      <c r="B78" s="23" t="str">
        <f t="shared" si="2"/>
        <v>[857033,1039501,1162809,1449603,1690600,1665653,1990807,2370653,2869464,3418095,5500387,6599464,7929390,9500223,11453556,55124430,66093983,79389100,95305353,114328452,118079480,165320742,231422872,324060264,453643271,2373057964,2847597103,3417121142,4100558968,4920655585,9118364732,12765732421,17871990900,25020852849,35029222658]</v>
      </c>
      <c r="C78" s="2"/>
      <c r="D78" s="10">
        <v>857033</v>
      </c>
      <c r="E78" s="10">
        <v>1039501</v>
      </c>
      <c r="F78" s="10">
        <v>1162809</v>
      </c>
      <c r="G78" s="10">
        <v>1449603</v>
      </c>
      <c r="H78" s="10">
        <v>1690600</v>
      </c>
      <c r="I78" s="10">
        <v>1665653</v>
      </c>
      <c r="J78" s="10">
        <v>1990807</v>
      </c>
      <c r="K78" s="10">
        <v>2370653</v>
      </c>
      <c r="L78" s="10">
        <v>2869464</v>
      </c>
      <c r="M78" s="10">
        <v>3418095</v>
      </c>
      <c r="N78" s="10">
        <v>5500387</v>
      </c>
      <c r="O78" s="10">
        <v>6599464</v>
      </c>
      <c r="P78" s="10">
        <v>7929390</v>
      </c>
      <c r="Q78" s="10">
        <v>9500223</v>
      </c>
      <c r="R78" s="10">
        <v>11453556</v>
      </c>
      <c r="S78" s="10">
        <v>55124430</v>
      </c>
      <c r="T78" s="10">
        <v>66093983</v>
      </c>
      <c r="U78" s="10">
        <v>79389100</v>
      </c>
      <c r="V78" s="10">
        <v>95305353</v>
      </c>
      <c r="W78" s="10">
        <v>114328452</v>
      </c>
      <c r="X78" s="10">
        <v>118079480</v>
      </c>
      <c r="Y78" s="10">
        <v>165320742</v>
      </c>
      <c r="Z78" s="10">
        <v>231422872</v>
      </c>
      <c r="AA78" s="10">
        <v>324060264</v>
      </c>
      <c r="AB78" s="10">
        <v>453643271</v>
      </c>
      <c r="AC78" s="10">
        <v>2373057964</v>
      </c>
      <c r="AD78" s="10">
        <v>2847597103</v>
      </c>
      <c r="AE78" s="10">
        <v>3417121142</v>
      </c>
      <c r="AF78" s="10">
        <v>4100558968</v>
      </c>
      <c r="AG78" s="10">
        <v>4920655585</v>
      </c>
      <c r="AH78" s="10">
        <v>9118364732</v>
      </c>
      <c r="AI78" s="10">
        <v>12765732421</v>
      </c>
      <c r="AJ78" s="10">
        <v>17871990900</v>
      </c>
      <c r="AK78" s="10">
        <v>25020852849</v>
      </c>
      <c r="AL78" s="10">
        <v>35029222658</v>
      </c>
    </row>
    <row r="79" spans="1:38" ht="16.5" customHeight="1">
      <c r="A79" s="2">
        <v>78</v>
      </c>
      <c r="B79" s="23" t="str">
        <f t="shared" si="2"/>
        <v>[925596,1122661,1255834,1565571,1825848,1798905,2150072,2560305,3099021,3691543,5940418,7127421,8563741,10260241,12369840,59534384,71381502,85740228,102929781,123474728,127525838,178546401,249936702,349985085,489934733,2562902601,3075404871,3690490833,4428603685,5314308032,9847833911,13786991015,19301750172,27022521077,37831560471]</v>
      </c>
      <c r="C79" s="2"/>
      <c r="D79" s="10">
        <v>925596</v>
      </c>
      <c r="E79" s="10">
        <v>1122661</v>
      </c>
      <c r="F79" s="10">
        <v>1255834</v>
      </c>
      <c r="G79" s="10">
        <v>1565571</v>
      </c>
      <c r="H79" s="10">
        <v>1825848</v>
      </c>
      <c r="I79" s="10">
        <v>1798905</v>
      </c>
      <c r="J79" s="10">
        <v>2150072</v>
      </c>
      <c r="K79" s="10">
        <v>2560305</v>
      </c>
      <c r="L79" s="10">
        <v>3099021</v>
      </c>
      <c r="M79" s="10">
        <v>3691543</v>
      </c>
      <c r="N79" s="10">
        <v>5940418</v>
      </c>
      <c r="O79" s="10">
        <v>7127421</v>
      </c>
      <c r="P79" s="10">
        <v>8563741</v>
      </c>
      <c r="Q79" s="10">
        <v>10260241</v>
      </c>
      <c r="R79" s="10">
        <v>12369840</v>
      </c>
      <c r="S79" s="10">
        <v>59534384</v>
      </c>
      <c r="T79" s="10">
        <v>71381502</v>
      </c>
      <c r="U79" s="10">
        <v>85740228</v>
      </c>
      <c r="V79" s="10">
        <v>102929781</v>
      </c>
      <c r="W79" s="10">
        <v>123474728</v>
      </c>
      <c r="X79" s="10">
        <v>127525838</v>
      </c>
      <c r="Y79" s="10">
        <v>178546401</v>
      </c>
      <c r="Z79" s="10">
        <v>249936702</v>
      </c>
      <c r="AA79" s="10">
        <v>349985085</v>
      </c>
      <c r="AB79" s="10">
        <v>489934733</v>
      </c>
      <c r="AC79" s="10">
        <v>2562902601</v>
      </c>
      <c r="AD79" s="10">
        <v>3075404871</v>
      </c>
      <c r="AE79" s="10">
        <v>3690490833</v>
      </c>
      <c r="AF79" s="10">
        <v>4428603685</v>
      </c>
      <c r="AG79" s="10">
        <v>5314308032</v>
      </c>
      <c r="AH79" s="10">
        <v>9847833911</v>
      </c>
      <c r="AI79" s="10">
        <v>13786991015</v>
      </c>
      <c r="AJ79" s="10">
        <v>19301750172</v>
      </c>
      <c r="AK79" s="10">
        <v>27022521077</v>
      </c>
      <c r="AL79" s="10">
        <v>37831560471</v>
      </c>
    </row>
    <row r="80" spans="1:38" ht="16.5" customHeight="1">
      <c r="A80" s="2">
        <v>79</v>
      </c>
      <c r="B80" s="23" t="str">
        <f t="shared" si="2"/>
        <v>[999644,1212474,1356301,1690817,1971916,1942817,2322078,2765129,3346943,3986866,6415651,7697615,9248840,11081060,13359427,64297135,77092022,92599446,111164163,133352706,137727905,192830113,269931638,377983892,529129512,2767934809,3321437261,3985730100,4782891980,5739452675,10635660624,14889950296,20845890186,29184322763,40858085309]</v>
      </c>
      <c r="C80" s="2"/>
      <c r="D80" s="10">
        <v>999644</v>
      </c>
      <c r="E80" s="10">
        <v>1212474</v>
      </c>
      <c r="F80" s="10">
        <v>1356301</v>
      </c>
      <c r="G80" s="10">
        <v>1690817</v>
      </c>
      <c r="H80" s="10">
        <v>1971916</v>
      </c>
      <c r="I80" s="10">
        <v>1942817</v>
      </c>
      <c r="J80" s="10">
        <v>2322078</v>
      </c>
      <c r="K80" s="10">
        <v>2765129</v>
      </c>
      <c r="L80" s="10">
        <v>3346943</v>
      </c>
      <c r="M80" s="10">
        <v>3986866</v>
      </c>
      <c r="N80" s="10">
        <v>6415651</v>
      </c>
      <c r="O80" s="10">
        <v>7697615</v>
      </c>
      <c r="P80" s="10">
        <v>9248840</v>
      </c>
      <c r="Q80" s="10">
        <v>11081060</v>
      </c>
      <c r="R80" s="10">
        <v>13359427</v>
      </c>
      <c r="S80" s="10">
        <v>64297135</v>
      </c>
      <c r="T80" s="10">
        <v>77092022</v>
      </c>
      <c r="U80" s="10">
        <v>92599446</v>
      </c>
      <c r="V80" s="10">
        <v>111164163</v>
      </c>
      <c r="W80" s="10">
        <v>133352706</v>
      </c>
      <c r="X80" s="10">
        <v>137727905</v>
      </c>
      <c r="Y80" s="10">
        <v>192830113</v>
      </c>
      <c r="Z80" s="10">
        <v>269931638</v>
      </c>
      <c r="AA80" s="10">
        <v>377983892</v>
      </c>
      <c r="AB80" s="10">
        <v>529129512</v>
      </c>
      <c r="AC80" s="10">
        <v>2767934809</v>
      </c>
      <c r="AD80" s="10">
        <v>3321437261</v>
      </c>
      <c r="AE80" s="10">
        <v>3985730100</v>
      </c>
      <c r="AF80" s="10">
        <v>4782891980</v>
      </c>
      <c r="AG80" s="10">
        <v>5739452675</v>
      </c>
      <c r="AH80" s="10">
        <v>10635660624</v>
      </c>
      <c r="AI80" s="10">
        <v>14889950296</v>
      </c>
      <c r="AJ80" s="10">
        <v>20845890186</v>
      </c>
      <c r="AK80" s="10">
        <v>29184322763</v>
      </c>
      <c r="AL80" s="10">
        <v>40858085309</v>
      </c>
    </row>
    <row r="81" spans="1:38" ht="16.5" customHeight="1">
      <c r="A81" s="2">
        <v>80</v>
      </c>
      <c r="B81" s="23" t="str">
        <f t="shared" si="2"/>
        <v>[1049626,1273098,1424116,1775358,2070512,2039958,2438182,2903385,3514290,4186209,6736434,8082496,9711282,11635113,14027398,67511992,80946623,97229418,116722371,140020341,144614300,202471619,283428220,396883087,555585988,2906331549,3487509124,4185016605,5022036579,6026425309,11167443655,15634447811,21888184695,30643538901,42900989574]</v>
      </c>
      <c r="C81" s="2"/>
      <c r="D81" s="10">
        <v>1049626</v>
      </c>
      <c r="E81" s="10">
        <v>1273098</v>
      </c>
      <c r="F81" s="10">
        <v>1424116</v>
      </c>
      <c r="G81" s="10">
        <v>1775358</v>
      </c>
      <c r="H81" s="10">
        <v>2070512</v>
      </c>
      <c r="I81" s="10">
        <v>2039958</v>
      </c>
      <c r="J81" s="10">
        <v>2438182</v>
      </c>
      <c r="K81" s="10">
        <v>2903385</v>
      </c>
      <c r="L81" s="10">
        <v>3514290</v>
      </c>
      <c r="M81" s="10">
        <v>4186209</v>
      </c>
      <c r="N81" s="10">
        <v>6736434</v>
      </c>
      <c r="O81" s="10">
        <v>8082496</v>
      </c>
      <c r="P81" s="10">
        <v>9711282</v>
      </c>
      <c r="Q81" s="10">
        <v>11635113</v>
      </c>
      <c r="R81" s="10">
        <v>14027398</v>
      </c>
      <c r="S81" s="10">
        <v>67511992</v>
      </c>
      <c r="T81" s="10">
        <v>80946623</v>
      </c>
      <c r="U81" s="10">
        <v>97229418</v>
      </c>
      <c r="V81" s="10">
        <v>116722371</v>
      </c>
      <c r="W81" s="10">
        <v>140020341</v>
      </c>
      <c r="X81" s="10">
        <v>144614300</v>
      </c>
      <c r="Y81" s="10">
        <v>202471619</v>
      </c>
      <c r="Z81" s="10">
        <v>283428220</v>
      </c>
      <c r="AA81" s="10">
        <v>396883087</v>
      </c>
      <c r="AB81" s="10">
        <v>555585988</v>
      </c>
      <c r="AC81" s="10">
        <v>2906331549</v>
      </c>
      <c r="AD81" s="10">
        <v>3487509124</v>
      </c>
      <c r="AE81" s="10">
        <v>4185016605</v>
      </c>
      <c r="AF81" s="10">
        <v>5022036579</v>
      </c>
      <c r="AG81" s="10">
        <v>6026425309</v>
      </c>
      <c r="AH81" s="10">
        <v>11167443655</v>
      </c>
      <c r="AI81" s="10">
        <v>15634447811</v>
      </c>
      <c r="AJ81" s="10">
        <v>21888184695</v>
      </c>
      <c r="AK81" s="10">
        <v>30643538901</v>
      </c>
      <c r="AL81" s="10">
        <v>42900989574</v>
      </c>
    </row>
    <row r="82" spans="1:38" ht="16.5" customHeight="1">
      <c r="A82" s="2">
        <v>81</v>
      </c>
      <c r="B82" s="23" t="str">
        <f t="shared" si="2"/>
        <v>[1102107,1336753,1495322,1864126,2174038,2141956,2560091,3048554,3690005,4395519,7073256,8486621,10196846,12216869,14728768,70887592,84993954,102090889,122558490,147021358,151845015,212595200,297599631,416727241,583365287,3051648126,3661884580,4394267435,5273138408,6327746574,11725815838,16416170202,22982593930,32175715846,45046039053]</v>
      </c>
      <c r="C82" s="2"/>
      <c r="D82" s="10">
        <v>1102107</v>
      </c>
      <c r="E82" s="10">
        <v>1336753</v>
      </c>
      <c r="F82" s="10">
        <v>1495322</v>
      </c>
      <c r="G82" s="10">
        <v>1864126</v>
      </c>
      <c r="H82" s="10">
        <v>2174038</v>
      </c>
      <c r="I82" s="10">
        <v>2141956</v>
      </c>
      <c r="J82" s="10">
        <v>2560091</v>
      </c>
      <c r="K82" s="10">
        <v>3048554</v>
      </c>
      <c r="L82" s="10">
        <v>3690005</v>
      </c>
      <c r="M82" s="10">
        <v>4395519</v>
      </c>
      <c r="N82" s="10">
        <v>7073256</v>
      </c>
      <c r="O82" s="10">
        <v>8486621</v>
      </c>
      <c r="P82" s="10">
        <v>10196846</v>
      </c>
      <c r="Q82" s="10">
        <v>12216869</v>
      </c>
      <c r="R82" s="10">
        <v>14728768</v>
      </c>
      <c r="S82" s="10">
        <v>70887592</v>
      </c>
      <c r="T82" s="10">
        <v>84993954</v>
      </c>
      <c r="U82" s="10">
        <v>102090889</v>
      </c>
      <c r="V82" s="10">
        <v>122558490</v>
      </c>
      <c r="W82" s="10">
        <v>147021358</v>
      </c>
      <c r="X82" s="10">
        <v>151845015</v>
      </c>
      <c r="Y82" s="10">
        <v>212595200</v>
      </c>
      <c r="Z82" s="10">
        <v>297599631</v>
      </c>
      <c r="AA82" s="10">
        <v>416727241</v>
      </c>
      <c r="AB82" s="10">
        <v>583365287</v>
      </c>
      <c r="AC82" s="10">
        <v>3051648126</v>
      </c>
      <c r="AD82" s="10">
        <v>3661884580</v>
      </c>
      <c r="AE82" s="10">
        <v>4394267435</v>
      </c>
      <c r="AF82" s="10">
        <v>5273138408</v>
      </c>
      <c r="AG82" s="10">
        <v>6327746574</v>
      </c>
      <c r="AH82" s="10">
        <v>11725815838</v>
      </c>
      <c r="AI82" s="10">
        <v>16416170202</v>
      </c>
      <c r="AJ82" s="10">
        <v>22982593930</v>
      </c>
      <c r="AK82" s="10">
        <v>32175715846</v>
      </c>
      <c r="AL82" s="10">
        <v>45046039053</v>
      </c>
    </row>
    <row r="83" spans="1:38" ht="16.5" customHeight="1">
      <c r="A83" s="2">
        <v>82</v>
      </c>
      <c r="B83" s="23" t="str">
        <f t="shared" si="2"/>
        <v>[1157212,1403591,1570088,1957332,2282740,2249054,2688096,3200982,3874505,4615295,7426919,8910952,10706688,12827712,15465206,74431972,89243652,107195433,128686415,154372426,159437266,223224960,312479613,437563603,612533551,3204230532,3844978809,4613980807,5536795328,6644133903,12312106630,17236978712,24131723627,33784501638,47298341006]</v>
      </c>
      <c r="C83" s="2"/>
      <c r="D83" s="10">
        <v>1157212</v>
      </c>
      <c r="E83" s="10">
        <v>1403591</v>
      </c>
      <c r="F83" s="10">
        <v>1570088</v>
      </c>
      <c r="G83" s="10">
        <v>1957332</v>
      </c>
      <c r="H83" s="10">
        <v>2282740</v>
      </c>
      <c r="I83" s="10">
        <v>2249054</v>
      </c>
      <c r="J83" s="10">
        <v>2688096</v>
      </c>
      <c r="K83" s="10">
        <v>3200982</v>
      </c>
      <c r="L83" s="10">
        <v>3874505</v>
      </c>
      <c r="M83" s="10">
        <v>4615295</v>
      </c>
      <c r="N83" s="10">
        <v>7426919</v>
      </c>
      <c r="O83" s="10">
        <v>8910952</v>
      </c>
      <c r="P83" s="10">
        <v>10706688</v>
      </c>
      <c r="Q83" s="10">
        <v>12827712</v>
      </c>
      <c r="R83" s="10">
        <v>15465206</v>
      </c>
      <c r="S83" s="10">
        <v>74431972</v>
      </c>
      <c r="T83" s="10">
        <v>89243652</v>
      </c>
      <c r="U83" s="10">
        <v>107195433</v>
      </c>
      <c r="V83" s="10">
        <v>128686415</v>
      </c>
      <c r="W83" s="10">
        <v>154372426</v>
      </c>
      <c r="X83" s="10">
        <v>159437266</v>
      </c>
      <c r="Y83" s="10">
        <v>223224960</v>
      </c>
      <c r="Z83" s="10">
        <v>312479613</v>
      </c>
      <c r="AA83" s="10">
        <v>437563603</v>
      </c>
      <c r="AB83" s="10">
        <v>612533551</v>
      </c>
      <c r="AC83" s="10">
        <v>3204230532</v>
      </c>
      <c r="AD83" s="10">
        <v>3844978809</v>
      </c>
      <c r="AE83" s="10">
        <v>4613980807</v>
      </c>
      <c r="AF83" s="10">
        <v>5536795328</v>
      </c>
      <c r="AG83" s="10">
        <v>6644133903</v>
      </c>
      <c r="AH83" s="10">
        <v>12312106630</v>
      </c>
      <c r="AI83" s="10">
        <v>17236978712</v>
      </c>
      <c r="AJ83" s="10">
        <v>24131723627</v>
      </c>
      <c r="AK83" s="10">
        <v>33784501638</v>
      </c>
      <c r="AL83" s="10">
        <v>47298341006</v>
      </c>
    </row>
    <row r="84" spans="1:38" ht="16.5" customHeight="1">
      <c r="A84" s="2">
        <v>83</v>
      </c>
      <c r="B84" s="23" t="str">
        <f t="shared" si="2"/>
        <v>[1215073,1473771,1648592,2055199,2396877,2361507,2822501,3361031,4068230,4846060,7798265,9356500,11242022,13469098,16238466,78153571,93705835,112555205,135120736,162091047,167409129,234386208,328103594,459441783,643160229,3364442059,4037227749,4844679847,5813635094,6976340598,12927711962,18098827648,25338309808,35473726720,49663258056]</v>
      </c>
      <c r="C84" s="2"/>
      <c r="D84" s="10">
        <v>1215073</v>
      </c>
      <c r="E84" s="10">
        <v>1473771</v>
      </c>
      <c r="F84" s="10">
        <v>1648592</v>
      </c>
      <c r="G84" s="10">
        <v>2055199</v>
      </c>
      <c r="H84" s="10">
        <v>2396877</v>
      </c>
      <c r="I84" s="10">
        <v>2361507</v>
      </c>
      <c r="J84" s="10">
        <v>2822501</v>
      </c>
      <c r="K84" s="10">
        <v>3361031</v>
      </c>
      <c r="L84" s="10">
        <v>4068230</v>
      </c>
      <c r="M84" s="10">
        <v>4846060</v>
      </c>
      <c r="N84" s="10">
        <v>7798265</v>
      </c>
      <c r="O84" s="10">
        <v>9356500</v>
      </c>
      <c r="P84" s="10">
        <v>11242022</v>
      </c>
      <c r="Q84" s="10">
        <v>13469098</v>
      </c>
      <c r="R84" s="10">
        <v>16238466</v>
      </c>
      <c r="S84" s="10">
        <v>78153571</v>
      </c>
      <c r="T84" s="10">
        <v>93705835</v>
      </c>
      <c r="U84" s="10">
        <v>112555205</v>
      </c>
      <c r="V84" s="10">
        <v>135120736</v>
      </c>
      <c r="W84" s="10">
        <v>162091047</v>
      </c>
      <c r="X84" s="10">
        <v>167409129</v>
      </c>
      <c r="Y84" s="10">
        <v>234386208</v>
      </c>
      <c r="Z84" s="10">
        <v>328103594</v>
      </c>
      <c r="AA84" s="10">
        <v>459441783</v>
      </c>
      <c r="AB84" s="10">
        <v>643160229</v>
      </c>
      <c r="AC84" s="10">
        <v>3364442059</v>
      </c>
      <c r="AD84" s="10">
        <v>4037227749</v>
      </c>
      <c r="AE84" s="10">
        <v>4844679847</v>
      </c>
      <c r="AF84" s="10">
        <v>5813635094</v>
      </c>
      <c r="AG84" s="10">
        <v>6976340598</v>
      </c>
      <c r="AH84" s="10">
        <v>12927711962</v>
      </c>
      <c r="AI84" s="10">
        <v>18098827648</v>
      </c>
      <c r="AJ84" s="10">
        <v>25338309808</v>
      </c>
      <c r="AK84" s="10">
        <v>35473726720</v>
      </c>
      <c r="AL84" s="10">
        <v>49663258056</v>
      </c>
    </row>
    <row r="85" spans="1:38" ht="16.5" customHeight="1">
      <c r="A85" s="2">
        <v>84</v>
      </c>
      <c r="B85" s="23" t="str">
        <f t="shared" si="2"/>
        <v>[1275827,1547460,1731022,2157959,2516721,2479582,2963626,3529083,4271642,5088363,8188178,9824325,11804123,14142553,17050389,82061250,98391127,118182965,141876773,170195599,175779585,246105518,344508774,482413872,675318240,3532664162,4239089136,5086913839,6104316849,7325157628,13574097560,19003769030,26605225298,37247413056,52146420959]</v>
      </c>
      <c r="C85" s="2"/>
      <c r="D85" s="10">
        <v>1275827</v>
      </c>
      <c r="E85" s="10">
        <v>1547460</v>
      </c>
      <c r="F85" s="10">
        <v>1731022</v>
      </c>
      <c r="G85" s="10">
        <v>2157959</v>
      </c>
      <c r="H85" s="10">
        <v>2516721</v>
      </c>
      <c r="I85" s="10">
        <v>2479582</v>
      </c>
      <c r="J85" s="10">
        <v>2963626</v>
      </c>
      <c r="K85" s="10">
        <v>3529083</v>
      </c>
      <c r="L85" s="10">
        <v>4271642</v>
      </c>
      <c r="M85" s="10">
        <v>5088363</v>
      </c>
      <c r="N85" s="10">
        <v>8188178</v>
      </c>
      <c r="O85" s="10">
        <v>9824325</v>
      </c>
      <c r="P85" s="10">
        <v>11804123</v>
      </c>
      <c r="Q85" s="10">
        <v>14142553</v>
      </c>
      <c r="R85" s="10">
        <v>17050389</v>
      </c>
      <c r="S85" s="10">
        <v>82061250</v>
      </c>
      <c r="T85" s="10">
        <v>98391127</v>
      </c>
      <c r="U85" s="10">
        <v>118182965</v>
      </c>
      <c r="V85" s="10">
        <v>141876773</v>
      </c>
      <c r="W85" s="10">
        <v>170195599</v>
      </c>
      <c r="X85" s="10">
        <v>175779585</v>
      </c>
      <c r="Y85" s="10">
        <v>246105518</v>
      </c>
      <c r="Z85" s="10">
        <v>344508774</v>
      </c>
      <c r="AA85" s="10">
        <v>482413872</v>
      </c>
      <c r="AB85" s="10">
        <v>675318240</v>
      </c>
      <c r="AC85" s="10">
        <v>3532664162</v>
      </c>
      <c r="AD85" s="10">
        <v>4239089136</v>
      </c>
      <c r="AE85" s="10">
        <v>5086913839</v>
      </c>
      <c r="AF85" s="10">
        <v>6104316849</v>
      </c>
      <c r="AG85" s="10">
        <v>7325157628</v>
      </c>
      <c r="AH85" s="10">
        <v>13574097560</v>
      </c>
      <c r="AI85" s="10">
        <v>19003769030</v>
      </c>
      <c r="AJ85" s="10">
        <v>26605225298</v>
      </c>
      <c r="AK85" s="10">
        <v>37247413056</v>
      </c>
      <c r="AL85" s="10">
        <v>52146420959</v>
      </c>
    </row>
    <row r="86" spans="1:38" ht="16.5" customHeight="1">
      <c r="A86" s="2">
        <v>85</v>
      </c>
      <c r="B86" s="23" t="str">
        <f t="shared" si="2"/>
        <v>[1339618,1624833,1817573,2265857,2642557,2603561,3111807,3705537,4485224,5342781,8597587,10315541,12394329,14849681,17902908,86164313,103310683,124092113,148970612,178705379,184568564,258410794,361734213,506534566,709084152,3709297370,4451043593,5341259531,6409532691,7691415509,14252802438,19953957482,27935486563,39109783709,54753742007]</v>
      </c>
      <c r="C86" s="2"/>
      <c r="D86" s="10">
        <v>1339618</v>
      </c>
      <c r="E86" s="10">
        <v>1624833</v>
      </c>
      <c r="F86" s="10">
        <v>1817573</v>
      </c>
      <c r="G86" s="10">
        <v>2265857</v>
      </c>
      <c r="H86" s="10">
        <v>2642557</v>
      </c>
      <c r="I86" s="10">
        <v>2603561</v>
      </c>
      <c r="J86" s="10">
        <v>3111807</v>
      </c>
      <c r="K86" s="10">
        <v>3705537</v>
      </c>
      <c r="L86" s="10">
        <v>4485224</v>
      </c>
      <c r="M86" s="10">
        <v>5342781</v>
      </c>
      <c r="N86" s="10">
        <v>8597587</v>
      </c>
      <c r="O86" s="10">
        <v>10315541</v>
      </c>
      <c r="P86" s="10">
        <v>12394329</v>
      </c>
      <c r="Q86" s="10">
        <v>14849681</v>
      </c>
      <c r="R86" s="10">
        <v>17902908</v>
      </c>
      <c r="S86" s="10">
        <v>86164313</v>
      </c>
      <c r="T86" s="10">
        <v>103310683</v>
      </c>
      <c r="U86" s="10">
        <v>124092113</v>
      </c>
      <c r="V86" s="10">
        <v>148970612</v>
      </c>
      <c r="W86" s="10">
        <v>178705379</v>
      </c>
      <c r="X86" s="10">
        <v>184568564</v>
      </c>
      <c r="Y86" s="10">
        <v>258410794</v>
      </c>
      <c r="Z86" s="10">
        <v>361734213</v>
      </c>
      <c r="AA86" s="10">
        <v>506534566</v>
      </c>
      <c r="AB86" s="10">
        <v>709084152</v>
      </c>
      <c r="AC86" s="10">
        <v>3709297370</v>
      </c>
      <c r="AD86" s="10">
        <v>4451043593</v>
      </c>
      <c r="AE86" s="10">
        <v>5341259531</v>
      </c>
      <c r="AF86" s="10">
        <v>6409532691</v>
      </c>
      <c r="AG86" s="10">
        <v>7691415509</v>
      </c>
      <c r="AH86" s="10">
        <v>14252802438</v>
      </c>
      <c r="AI86" s="10">
        <v>19953957482</v>
      </c>
      <c r="AJ86" s="10">
        <v>27935486563</v>
      </c>
      <c r="AK86" s="10">
        <v>39109783709</v>
      </c>
      <c r="AL86" s="10">
        <v>54753742007</v>
      </c>
    </row>
    <row r="87" spans="1:38" ht="16.5" customHeight="1">
      <c r="A87" s="2">
        <v>86</v>
      </c>
      <c r="B87" s="23" t="str">
        <f t="shared" si="2"/>
        <v>[1406599,1706075,1908452,2379150,2774685,2733739,3267397,3890814,4709485,5609920,9027466,10831318,13014045,15592165,18798053,90472529,108476217,130296719,156419143,187640648,193796992,271331334,379820924,531861294,744538360,3894762239,4673595773,5608322508,6730009326,8075986284,14965442560,20951655356,29332260891,41065272894,57491429107]</v>
      </c>
      <c r="C87" s="2"/>
      <c r="D87" s="10">
        <v>1406599</v>
      </c>
      <c r="E87" s="10">
        <v>1706075</v>
      </c>
      <c r="F87" s="10">
        <v>1908452</v>
      </c>
      <c r="G87" s="10">
        <v>2379150</v>
      </c>
      <c r="H87" s="10">
        <v>2774685</v>
      </c>
      <c r="I87" s="10">
        <v>2733739</v>
      </c>
      <c r="J87" s="10">
        <v>3267397</v>
      </c>
      <c r="K87" s="10">
        <v>3890814</v>
      </c>
      <c r="L87" s="10">
        <v>4709485</v>
      </c>
      <c r="M87" s="10">
        <v>5609920</v>
      </c>
      <c r="N87" s="10">
        <v>9027466</v>
      </c>
      <c r="O87" s="10">
        <v>10831318</v>
      </c>
      <c r="P87" s="10">
        <v>13014045</v>
      </c>
      <c r="Q87" s="10">
        <v>15592165</v>
      </c>
      <c r="R87" s="10">
        <v>18798053</v>
      </c>
      <c r="S87" s="10">
        <v>90472529</v>
      </c>
      <c r="T87" s="10">
        <v>108476217</v>
      </c>
      <c r="U87" s="10">
        <v>130296719</v>
      </c>
      <c r="V87" s="10">
        <v>156419143</v>
      </c>
      <c r="W87" s="10">
        <v>187640648</v>
      </c>
      <c r="X87" s="10">
        <v>193796992</v>
      </c>
      <c r="Y87" s="10">
        <v>271331334</v>
      </c>
      <c r="Z87" s="10">
        <v>379820924</v>
      </c>
      <c r="AA87" s="10">
        <v>531861294</v>
      </c>
      <c r="AB87" s="10">
        <v>744538360</v>
      </c>
      <c r="AC87" s="10">
        <v>3894762239</v>
      </c>
      <c r="AD87" s="10">
        <v>4673595773</v>
      </c>
      <c r="AE87" s="10">
        <v>5608322508</v>
      </c>
      <c r="AF87" s="10">
        <v>6730009326</v>
      </c>
      <c r="AG87" s="10">
        <v>8075986284</v>
      </c>
      <c r="AH87" s="10">
        <v>14965442560</v>
      </c>
      <c r="AI87" s="10">
        <v>20951655356</v>
      </c>
      <c r="AJ87" s="10">
        <v>29332260891</v>
      </c>
      <c r="AK87" s="10">
        <v>41065272894</v>
      </c>
      <c r="AL87" s="10">
        <v>57491429107</v>
      </c>
    </row>
    <row r="88" spans="1:38" ht="16.5" customHeight="1">
      <c r="A88" s="2">
        <v>87</v>
      </c>
      <c r="B88" s="23" t="str">
        <f t="shared" si="2"/>
        <v>[1476929,1791379,2003875,2498108,2913419,2870426,3430767,4085355,4944959,5890416,9478839,11372884,13664747,16371773,19737956,94996155,113900028,136811555,164240100,197022680,203486842,284897901,398811970,558454359,781765278,4089500351,4907275562,5888738633,7066509792,8479785598,15713714688,21999238124,30798873936,43118536539,60366000562]</v>
      </c>
      <c r="C88" s="2"/>
      <c r="D88" s="10">
        <v>1476929</v>
      </c>
      <c r="E88" s="10">
        <v>1791379</v>
      </c>
      <c r="F88" s="10">
        <v>2003875</v>
      </c>
      <c r="G88" s="10">
        <v>2498108</v>
      </c>
      <c r="H88" s="10">
        <v>2913419</v>
      </c>
      <c r="I88" s="10">
        <v>2870426</v>
      </c>
      <c r="J88" s="10">
        <v>3430767</v>
      </c>
      <c r="K88" s="10">
        <v>4085355</v>
      </c>
      <c r="L88" s="10">
        <v>4944959</v>
      </c>
      <c r="M88" s="10">
        <v>5890416</v>
      </c>
      <c r="N88" s="10">
        <v>9478839</v>
      </c>
      <c r="O88" s="10">
        <v>11372884</v>
      </c>
      <c r="P88" s="10">
        <v>13664747</v>
      </c>
      <c r="Q88" s="10">
        <v>16371773</v>
      </c>
      <c r="R88" s="10">
        <v>19737956</v>
      </c>
      <c r="S88" s="10">
        <v>94996155</v>
      </c>
      <c r="T88" s="10">
        <v>113900028</v>
      </c>
      <c r="U88" s="10">
        <v>136811555</v>
      </c>
      <c r="V88" s="10">
        <v>164240100</v>
      </c>
      <c r="W88" s="10">
        <v>197022680</v>
      </c>
      <c r="X88" s="10">
        <v>203486842</v>
      </c>
      <c r="Y88" s="10">
        <v>284897901</v>
      </c>
      <c r="Z88" s="10">
        <v>398811970</v>
      </c>
      <c r="AA88" s="10">
        <v>558454359</v>
      </c>
      <c r="AB88" s="10">
        <v>781765278</v>
      </c>
      <c r="AC88" s="10">
        <v>4089500351</v>
      </c>
      <c r="AD88" s="10">
        <v>4907275562</v>
      </c>
      <c r="AE88" s="10">
        <v>5888738633</v>
      </c>
      <c r="AF88" s="10">
        <v>7066509792</v>
      </c>
      <c r="AG88" s="10">
        <v>8479785598</v>
      </c>
      <c r="AH88" s="10">
        <v>15713714688</v>
      </c>
      <c r="AI88" s="10">
        <v>21999238124</v>
      </c>
      <c r="AJ88" s="10">
        <v>30798873936</v>
      </c>
      <c r="AK88" s="10">
        <v>43118536539</v>
      </c>
      <c r="AL88" s="10">
        <v>60366000562</v>
      </c>
    </row>
    <row r="89" spans="1:38" ht="16.5" customHeight="1">
      <c r="A89" s="2">
        <v>88</v>
      </c>
      <c r="B89" s="23" t="str">
        <f t="shared" si="2"/>
        <v>[1550775,1880948,2104069,2623013,3059090,3013947,3602305,4289623,5192207,6184937,9952781,11941528,14347984,17190362,20724854,99745963,119595029,143652133,172452105,206873814,213661184,299142796,418752569,586377077,820853542,4293975369,5152639340,6183175565,7419835282,8903774878,16499400422,23099200030,32338817633,45274463366,63384300590]</v>
      </c>
      <c r="C89" s="2"/>
      <c r="D89" s="10">
        <v>1550775</v>
      </c>
      <c r="E89" s="10">
        <v>1880948</v>
      </c>
      <c r="F89" s="10">
        <v>2104069</v>
      </c>
      <c r="G89" s="10">
        <v>2623013</v>
      </c>
      <c r="H89" s="10">
        <v>3059090</v>
      </c>
      <c r="I89" s="10">
        <v>3013947</v>
      </c>
      <c r="J89" s="10">
        <v>3602305</v>
      </c>
      <c r="K89" s="10">
        <v>4289623</v>
      </c>
      <c r="L89" s="10">
        <v>5192207</v>
      </c>
      <c r="M89" s="10">
        <v>6184937</v>
      </c>
      <c r="N89" s="10">
        <v>9952781</v>
      </c>
      <c r="O89" s="10">
        <v>11941528</v>
      </c>
      <c r="P89" s="10">
        <v>14347984</v>
      </c>
      <c r="Q89" s="10">
        <v>17190362</v>
      </c>
      <c r="R89" s="10">
        <v>20724854</v>
      </c>
      <c r="S89" s="10">
        <v>99745963</v>
      </c>
      <c r="T89" s="10">
        <v>119595029</v>
      </c>
      <c r="U89" s="10">
        <v>143652133</v>
      </c>
      <c r="V89" s="10">
        <v>172452105</v>
      </c>
      <c r="W89" s="10">
        <v>206873814</v>
      </c>
      <c r="X89" s="10">
        <v>213661184</v>
      </c>
      <c r="Y89" s="10">
        <v>299142796</v>
      </c>
      <c r="Z89" s="10">
        <v>418752569</v>
      </c>
      <c r="AA89" s="10">
        <v>586377077</v>
      </c>
      <c r="AB89" s="10">
        <v>820853542</v>
      </c>
      <c r="AC89" s="10">
        <v>4293975369</v>
      </c>
      <c r="AD89" s="10">
        <v>5152639340</v>
      </c>
      <c r="AE89" s="10">
        <v>6183175565</v>
      </c>
      <c r="AF89" s="10">
        <v>7419835282</v>
      </c>
      <c r="AG89" s="10">
        <v>8903774878</v>
      </c>
      <c r="AH89" s="10">
        <v>16499400422</v>
      </c>
      <c r="AI89" s="10">
        <v>23099200030</v>
      </c>
      <c r="AJ89" s="10">
        <v>32338817633</v>
      </c>
      <c r="AK89" s="10">
        <v>45274463366</v>
      </c>
      <c r="AL89" s="10">
        <v>63384300590</v>
      </c>
    </row>
    <row r="90" spans="1:38" ht="16.5" customHeight="1">
      <c r="A90" s="2">
        <v>89</v>
      </c>
      <c r="B90" s="23" t="str">
        <f t="shared" si="2"/>
        <v>[1628314,1974995,2209272,2754164,3212045,3164644,3782420,4504104,5451817,6494184,10450420,12538604,15065383,18049880,21761097,104733261,125574780,150834740,181074710,217217505,224344243,314099936,439690197,615695931,861896219,4508674137,5410271307,6492334343,7790827046,9348963622,17324370443,24254160032,33955758515,47538186534,66553515620]</v>
      </c>
      <c r="C90" s="2"/>
      <c r="D90" s="10">
        <v>1628314</v>
      </c>
      <c r="E90" s="10">
        <v>1974995</v>
      </c>
      <c r="F90" s="10">
        <v>2209272</v>
      </c>
      <c r="G90" s="10">
        <v>2754164</v>
      </c>
      <c r="H90" s="10">
        <v>3212045</v>
      </c>
      <c r="I90" s="10">
        <v>3164644</v>
      </c>
      <c r="J90" s="10">
        <v>3782420</v>
      </c>
      <c r="K90" s="10">
        <v>4504104</v>
      </c>
      <c r="L90" s="10">
        <v>5451817</v>
      </c>
      <c r="M90" s="10">
        <v>6494184</v>
      </c>
      <c r="N90" s="10">
        <v>10450420</v>
      </c>
      <c r="O90" s="10">
        <v>12538604</v>
      </c>
      <c r="P90" s="10">
        <v>15065383</v>
      </c>
      <c r="Q90" s="10">
        <v>18049880</v>
      </c>
      <c r="R90" s="10">
        <v>21761097</v>
      </c>
      <c r="S90" s="10">
        <v>104733261</v>
      </c>
      <c r="T90" s="10">
        <v>125574780</v>
      </c>
      <c r="U90" s="10">
        <v>150834740</v>
      </c>
      <c r="V90" s="10">
        <v>181074710</v>
      </c>
      <c r="W90" s="10">
        <v>217217505</v>
      </c>
      <c r="X90" s="10">
        <v>224344243</v>
      </c>
      <c r="Y90" s="10">
        <v>314099936</v>
      </c>
      <c r="Z90" s="10">
        <v>439690197</v>
      </c>
      <c r="AA90" s="10">
        <v>615695931</v>
      </c>
      <c r="AB90" s="10">
        <v>861896219</v>
      </c>
      <c r="AC90" s="10">
        <v>4508674137</v>
      </c>
      <c r="AD90" s="10">
        <v>5410271307</v>
      </c>
      <c r="AE90" s="10">
        <v>6492334343</v>
      </c>
      <c r="AF90" s="10">
        <v>7790827046</v>
      </c>
      <c r="AG90" s="10">
        <v>9348963622</v>
      </c>
      <c r="AH90" s="10">
        <v>17324370443</v>
      </c>
      <c r="AI90" s="10">
        <v>24254160032</v>
      </c>
      <c r="AJ90" s="10">
        <v>33955758515</v>
      </c>
      <c r="AK90" s="10">
        <v>47538186534</v>
      </c>
      <c r="AL90" s="10">
        <v>66553515620</v>
      </c>
    </row>
    <row r="91" spans="1:38" ht="16.5" customHeight="1">
      <c r="A91" s="2">
        <v>90</v>
      </c>
      <c r="B91" s="23" t="str">
        <f t="shared" si="2"/>
        <v>[1709730,2073745,2319736,2891872,3372647,3322876,3971541,4729309,5724408,6818893,10972941,13165534,15818652,18952374,22849152,109969924,131853519,158376477,190128446,228078380,235561455,329804933,461674707,646480728,904991030,4734107844,5680784872,6816951060,8180368398,9816411803,18190588965,25466868034,35653546441,49915095861,69881191401]</v>
      </c>
      <c r="C91" s="2"/>
      <c r="D91" s="10">
        <v>1709730</v>
      </c>
      <c r="E91" s="10">
        <v>2073745</v>
      </c>
      <c r="F91" s="10">
        <v>2319736</v>
      </c>
      <c r="G91" s="10">
        <v>2891872</v>
      </c>
      <c r="H91" s="10">
        <v>3372647</v>
      </c>
      <c r="I91" s="10">
        <v>3322876</v>
      </c>
      <c r="J91" s="10">
        <v>3971541</v>
      </c>
      <c r="K91" s="10">
        <v>4729309</v>
      </c>
      <c r="L91" s="10">
        <v>5724408</v>
      </c>
      <c r="M91" s="10">
        <v>6818893</v>
      </c>
      <c r="N91" s="10">
        <v>10972941</v>
      </c>
      <c r="O91" s="10">
        <v>13165534</v>
      </c>
      <c r="P91" s="10">
        <v>15818652</v>
      </c>
      <c r="Q91" s="10">
        <v>18952374</v>
      </c>
      <c r="R91" s="10">
        <v>22849152</v>
      </c>
      <c r="S91" s="10">
        <v>109969924</v>
      </c>
      <c r="T91" s="10">
        <v>131853519</v>
      </c>
      <c r="U91" s="10">
        <v>158376477</v>
      </c>
      <c r="V91" s="10">
        <v>190128446</v>
      </c>
      <c r="W91" s="10">
        <v>228078380</v>
      </c>
      <c r="X91" s="10">
        <v>235561455</v>
      </c>
      <c r="Y91" s="10">
        <v>329804933</v>
      </c>
      <c r="Z91" s="10">
        <v>461674707</v>
      </c>
      <c r="AA91" s="10">
        <v>646480728</v>
      </c>
      <c r="AB91" s="10">
        <v>904991030</v>
      </c>
      <c r="AC91" s="10">
        <v>4734107844</v>
      </c>
      <c r="AD91" s="10">
        <v>5680784872</v>
      </c>
      <c r="AE91" s="10">
        <v>6816951060</v>
      </c>
      <c r="AF91" s="10">
        <v>8180368398</v>
      </c>
      <c r="AG91" s="10">
        <v>9816411803</v>
      </c>
      <c r="AH91" s="10">
        <v>18190588965</v>
      </c>
      <c r="AI91" s="10">
        <v>25466868034</v>
      </c>
      <c r="AJ91" s="10">
        <v>35653546441</v>
      </c>
      <c r="AK91" s="10">
        <v>49915095861</v>
      </c>
      <c r="AL91" s="10">
        <v>69881191401</v>
      </c>
    </row>
    <row r="92" spans="1:38" ht="16.5" customHeight="1">
      <c r="A92" s="2">
        <v>91</v>
      </c>
      <c r="B92" s="23" t="str">
        <f t="shared" si="2"/>
        <v>[1795217,2177432,2435723,3036466,3541279,3489020,4170118,4965774,6010628,7159838,11521588,13823811,16609585,19899993,23991610,115468420,138446195,166295301,199634868,239482299,247339528,346295180,484758442,678804764,950240582,4970813236,5964824116,7157798613,8589386818,10307232393,19100118413,26740211436,37436223763,52410850654,73375250971]</v>
      </c>
      <c r="C92" s="2"/>
      <c r="D92" s="10">
        <v>1795217</v>
      </c>
      <c r="E92" s="10">
        <v>2177432</v>
      </c>
      <c r="F92" s="10">
        <v>2435723</v>
      </c>
      <c r="G92" s="10">
        <v>3036466</v>
      </c>
      <c r="H92" s="10">
        <v>3541279</v>
      </c>
      <c r="I92" s="10">
        <v>3489020</v>
      </c>
      <c r="J92" s="10">
        <v>4170118</v>
      </c>
      <c r="K92" s="10">
        <v>4965774</v>
      </c>
      <c r="L92" s="10">
        <v>6010628</v>
      </c>
      <c r="M92" s="10">
        <v>7159838</v>
      </c>
      <c r="N92" s="10">
        <v>11521588</v>
      </c>
      <c r="O92" s="10">
        <v>13823811</v>
      </c>
      <c r="P92" s="10">
        <v>16609585</v>
      </c>
      <c r="Q92" s="10">
        <v>19899993</v>
      </c>
      <c r="R92" s="10">
        <v>23991610</v>
      </c>
      <c r="S92" s="10">
        <v>115468420</v>
      </c>
      <c r="T92" s="10">
        <v>138446195</v>
      </c>
      <c r="U92" s="10">
        <v>166295301</v>
      </c>
      <c r="V92" s="10">
        <v>199634868</v>
      </c>
      <c r="W92" s="10">
        <v>239482299</v>
      </c>
      <c r="X92" s="10">
        <v>247339528</v>
      </c>
      <c r="Y92" s="10">
        <v>346295180</v>
      </c>
      <c r="Z92" s="10">
        <v>484758442</v>
      </c>
      <c r="AA92" s="10">
        <v>678804764</v>
      </c>
      <c r="AB92" s="10">
        <v>950240582</v>
      </c>
      <c r="AC92" s="10">
        <v>4970813236</v>
      </c>
      <c r="AD92" s="10">
        <v>5964824116</v>
      </c>
      <c r="AE92" s="10">
        <v>7157798613</v>
      </c>
      <c r="AF92" s="10">
        <v>8589386818</v>
      </c>
      <c r="AG92" s="10">
        <v>10307232393</v>
      </c>
      <c r="AH92" s="10">
        <v>19100118413</v>
      </c>
      <c r="AI92" s="10">
        <v>26740211436</v>
      </c>
      <c r="AJ92" s="10">
        <v>37436223763</v>
      </c>
      <c r="AK92" s="10">
        <v>52410850654</v>
      </c>
      <c r="AL92" s="10">
        <v>73375250971</v>
      </c>
    </row>
    <row r="93" spans="1:38" ht="16.5" customHeight="1">
      <c r="A93" s="2">
        <v>92</v>
      </c>
      <c r="B93" s="23" t="str">
        <f t="shared" si="2"/>
        <v>[1884978,2286304,2557509,3188289,3718343,3663471,4378624,5214063,6311159,7517830,12097667,14515002,17440064,20894993,25191191,121241841,145368505,174610066,209616611,251456414,259706504,363609939,508996364,712745002,997752611,5219353898,6263065322,7515688544,9018856159,10822594013,20055124334,28077222008,39308034951,55031393187,77044013520]</v>
      </c>
      <c r="C93" s="2"/>
      <c r="D93" s="10">
        <v>1884978</v>
      </c>
      <c r="E93" s="10">
        <v>2286304</v>
      </c>
      <c r="F93" s="10">
        <v>2557509</v>
      </c>
      <c r="G93" s="10">
        <v>3188289</v>
      </c>
      <c r="H93" s="10">
        <v>3718343</v>
      </c>
      <c r="I93" s="10">
        <v>3663471</v>
      </c>
      <c r="J93" s="10">
        <v>4378624</v>
      </c>
      <c r="K93" s="10">
        <v>5214063</v>
      </c>
      <c r="L93" s="10">
        <v>6311159</v>
      </c>
      <c r="M93" s="10">
        <v>7517830</v>
      </c>
      <c r="N93" s="10">
        <v>12097667</v>
      </c>
      <c r="O93" s="10">
        <v>14515002</v>
      </c>
      <c r="P93" s="10">
        <v>17440064</v>
      </c>
      <c r="Q93" s="10">
        <v>20894993</v>
      </c>
      <c r="R93" s="10">
        <v>25191191</v>
      </c>
      <c r="S93" s="10">
        <v>121241841</v>
      </c>
      <c r="T93" s="10">
        <v>145368505</v>
      </c>
      <c r="U93" s="10">
        <v>174610066</v>
      </c>
      <c r="V93" s="10">
        <v>209616611</v>
      </c>
      <c r="W93" s="10">
        <v>251456414</v>
      </c>
      <c r="X93" s="10">
        <v>259706504</v>
      </c>
      <c r="Y93" s="10">
        <v>363609939</v>
      </c>
      <c r="Z93" s="10">
        <v>508996364</v>
      </c>
      <c r="AA93" s="10">
        <v>712745002</v>
      </c>
      <c r="AB93" s="10">
        <v>997752611</v>
      </c>
      <c r="AC93" s="10">
        <v>5219353898</v>
      </c>
      <c r="AD93" s="10">
        <v>6263065322</v>
      </c>
      <c r="AE93" s="10">
        <v>7515688544</v>
      </c>
      <c r="AF93" s="10">
        <v>9018856159</v>
      </c>
      <c r="AG93" s="10">
        <v>10822594013</v>
      </c>
      <c r="AH93" s="10">
        <v>20055124334</v>
      </c>
      <c r="AI93" s="10">
        <v>28077222008</v>
      </c>
      <c r="AJ93" s="10">
        <v>39308034951</v>
      </c>
      <c r="AK93" s="10">
        <v>55031393187</v>
      </c>
      <c r="AL93" s="10">
        <v>77044013520</v>
      </c>
    </row>
    <row r="94" spans="1:38" ht="16.5" customHeight="1">
      <c r="A94" s="2">
        <v>93</v>
      </c>
      <c r="B94" s="23" t="str">
        <f t="shared" si="2"/>
        <v>[1979227,2400619,2685384,3347703,3904260,3846645,4597555,5474766,6626717,7893722,12702550,15240752,18312067,21939743,26450751,127303933,152636930,183340569,220097442,264029235,272691829,381790436,534446182,748382252,1047640242,5480321593,6576218588,7891472971,9469798967,11363723714,21057880551,29481083108,41273436699,57782962846,80896214196]</v>
      </c>
      <c r="C94" s="2"/>
      <c r="D94" s="10">
        <v>1979227</v>
      </c>
      <c r="E94" s="10">
        <v>2400619</v>
      </c>
      <c r="F94" s="10">
        <v>2685384</v>
      </c>
      <c r="G94" s="10">
        <v>3347703</v>
      </c>
      <c r="H94" s="10">
        <v>3904260</v>
      </c>
      <c r="I94" s="10">
        <v>3846645</v>
      </c>
      <c r="J94" s="10">
        <v>4597555</v>
      </c>
      <c r="K94" s="10">
        <v>5474766</v>
      </c>
      <c r="L94" s="10">
        <v>6626717</v>
      </c>
      <c r="M94" s="10">
        <v>7893722</v>
      </c>
      <c r="N94" s="10">
        <v>12702550</v>
      </c>
      <c r="O94" s="10">
        <v>15240752</v>
      </c>
      <c r="P94" s="10">
        <v>18312067</v>
      </c>
      <c r="Q94" s="10">
        <v>21939743</v>
      </c>
      <c r="R94" s="10">
        <v>26450751</v>
      </c>
      <c r="S94" s="10">
        <v>127303933</v>
      </c>
      <c r="T94" s="10">
        <v>152636930</v>
      </c>
      <c r="U94" s="10">
        <v>183340569</v>
      </c>
      <c r="V94" s="10">
        <v>220097442</v>
      </c>
      <c r="W94" s="10">
        <v>264029235</v>
      </c>
      <c r="X94" s="10">
        <v>272691829</v>
      </c>
      <c r="Y94" s="10">
        <v>381790436</v>
      </c>
      <c r="Z94" s="10">
        <v>534446182</v>
      </c>
      <c r="AA94" s="10">
        <v>748382252</v>
      </c>
      <c r="AB94" s="10">
        <v>1047640242</v>
      </c>
      <c r="AC94" s="10">
        <v>5480321593</v>
      </c>
      <c r="AD94" s="10">
        <v>6576218588</v>
      </c>
      <c r="AE94" s="10">
        <v>7891472971</v>
      </c>
      <c r="AF94" s="10">
        <v>9469798967</v>
      </c>
      <c r="AG94" s="10">
        <v>11363723714</v>
      </c>
      <c r="AH94" s="10">
        <v>21057880551</v>
      </c>
      <c r="AI94" s="10">
        <v>29481083108</v>
      </c>
      <c r="AJ94" s="10">
        <v>41273436699</v>
      </c>
      <c r="AK94" s="10">
        <v>57782962846</v>
      </c>
      <c r="AL94" s="10">
        <v>80896214196</v>
      </c>
    </row>
    <row r="95" spans="1:38" ht="16.5" customHeight="1">
      <c r="A95" s="2">
        <v>94</v>
      </c>
      <c r="B95" s="23" t="str">
        <f t="shared" si="2"/>
        <v>[2078188,2520650,2819653,3515088,4099473,4038977,4827433,5748504,6958053,8288408,13337678,16002790,19227670,23036730,27773289,133669130,160268777,192507597,231102314,277230697,286326420,400879958,561168491,785801365,1100022254,5754337673,6905029517,8286046620,9943288915,11931909900,22110774579,30955137263,43337108534,60672110988,84941024906]</v>
      </c>
      <c r="C95" s="2"/>
      <c r="D95" s="10">
        <v>2078188</v>
      </c>
      <c r="E95" s="10">
        <v>2520650</v>
      </c>
      <c r="F95" s="10">
        <v>2819653</v>
      </c>
      <c r="G95" s="10">
        <v>3515088</v>
      </c>
      <c r="H95" s="10">
        <v>4099473</v>
      </c>
      <c r="I95" s="10">
        <v>4038977</v>
      </c>
      <c r="J95" s="10">
        <v>4827433</v>
      </c>
      <c r="K95" s="10">
        <v>5748504</v>
      </c>
      <c r="L95" s="10">
        <v>6958053</v>
      </c>
      <c r="M95" s="10">
        <v>8288408</v>
      </c>
      <c r="N95" s="10">
        <v>13337678</v>
      </c>
      <c r="O95" s="10">
        <v>16002790</v>
      </c>
      <c r="P95" s="10">
        <v>19227670</v>
      </c>
      <c r="Q95" s="10">
        <v>23036730</v>
      </c>
      <c r="R95" s="10">
        <v>27773289</v>
      </c>
      <c r="S95" s="10">
        <v>133669130</v>
      </c>
      <c r="T95" s="10">
        <v>160268777</v>
      </c>
      <c r="U95" s="10">
        <v>192507597</v>
      </c>
      <c r="V95" s="10">
        <v>231102314</v>
      </c>
      <c r="W95" s="10">
        <v>277230697</v>
      </c>
      <c r="X95" s="10">
        <v>286326420</v>
      </c>
      <c r="Y95" s="10">
        <v>400879958</v>
      </c>
      <c r="Z95" s="10">
        <v>561168491</v>
      </c>
      <c r="AA95" s="10">
        <v>785801365</v>
      </c>
      <c r="AB95" s="10">
        <v>1100022254</v>
      </c>
      <c r="AC95" s="10">
        <v>5754337673</v>
      </c>
      <c r="AD95" s="10">
        <v>6905029517</v>
      </c>
      <c r="AE95" s="10">
        <v>8286046620</v>
      </c>
      <c r="AF95" s="10">
        <v>9943288915</v>
      </c>
      <c r="AG95" s="10">
        <v>11931909900</v>
      </c>
      <c r="AH95" s="10">
        <v>22110774579</v>
      </c>
      <c r="AI95" s="10">
        <v>30955137263</v>
      </c>
      <c r="AJ95" s="10">
        <v>43337108534</v>
      </c>
      <c r="AK95" s="10">
        <v>60672110988</v>
      </c>
      <c r="AL95" s="10">
        <v>84941024906</v>
      </c>
    </row>
    <row r="96" spans="1:38" ht="16.5" customHeight="1">
      <c r="A96" s="2">
        <v>95</v>
      </c>
      <c r="B96" s="23" t="str">
        <f t="shared" si="2"/>
        <v>[2182097,2646683,2960636,3690842,4304447,4240926,5068805,6035929,7305956,8702828,14004562,16802930,20189054,24188567,29161953,140352587,168282216,202132977,242657430,291092232,300642741,420923956,589226916,825091433,1155023367,6042054557,7250280993,8700348951,10440453361,12528505395,23216313308,32502894126,45503963961,63705716537,89188076151]</v>
      </c>
      <c r="C96" s="2"/>
      <c r="D96" s="10">
        <v>2182097</v>
      </c>
      <c r="E96" s="10">
        <v>2646683</v>
      </c>
      <c r="F96" s="10">
        <v>2960636</v>
      </c>
      <c r="G96" s="10">
        <v>3690842</v>
      </c>
      <c r="H96" s="10">
        <v>4304447</v>
      </c>
      <c r="I96" s="10">
        <v>4240926</v>
      </c>
      <c r="J96" s="10">
        <v>5068805</v>
      </c>
      <c r="K96" s="10">
        <v>6035929</v>
      </c>
      <c r="L96" s="10">
        <v>7305956</v>
      </c>
      <c r="M96" s="10">
        <v>8702828</v>
      </c>
      <c r="N96" s="10">
        <v>14004562</v>
      </c>
      <c r="O96" s="10">
        <v>16802930</v>
      </c>
      <c r="P96" s="10">
        <v>20189054</v>
      </c>
      <c r="Q96" s="10">
        <v>24188567</v>
      </c>
      <c r="R96" s="10">
        <v>29161953</v>
      </c>
      <c r="S96" s="10">
        <v>140352587</v>
      </c>
      <c r="T96" s="10">
        <v>168282216</v>
      </c>
      <c r="U96" s="10">
        <v>202132977</v>
      </c>
      <c r="V96" s="10">
        <v>242657430</v>
      </c>
      <c r="W96" s="10">
        <v>291092232</v>
      </c>
      <c r="X96" s="10">
        <v>300642741</v>
      </c>
      <c r="Y96" s="10">
        <v>420923956</v>
      </c>
      <c r="Z96" s="10">
        <v>589226916</v>
      </c>
      <c r="AA96" s="10">
        <v>825091433</v>
      </c>
      <c r="AB96" s="10">
        <v>1155023367</v>
      </c>
      <c r="AC96" s="10">
        <v>6042054557</v>
      </c>
      <c r="AD96" s="10">
        <v>7250280993</v>
      </c>
      <c r="AE96" s="10">
        <v>8700348951</v>
      </c>
      <c r="AF96" s="10">
        <v>10440453361</v>
      </c>
      <c r="AG96" s="10">
        <v>12528505395</v>
      </c>
      <c r="AH96" s="10">
        <v>23216313308</v>
      </c>
      <c r="AI96" s="10">
        <v>32502894126</v>
      </c>
      <c r="AJ96" s="10">
        <v>45503963961</v>
      </c>
      <c r="AK96" s="10">
        <v>63705716537</v>
      </c>
      <c r="AL96" s="10">
        <v>89188076151</v>
      </c>
    </row>
    <row r="97" spans="1:38" ht="16.5" customHeight="1">
      <c r="A97" s="2">
        <v>96</v>
      </c>
      <c r="B97" s="23" t="str">
        <f t="shared" si="2"/>
        <v>[2291202,2779017,3108668,3875384,4519669,4452972,5322245,6337725,7671254,9137969,14704790,17643077,21198507,25397995,30620051,147370216,176696327,212239626,254790302,305646844,315674878,441970154,618688262,866346005,1212774535,6344157285,7612795043,9135366399,10962476029,13154930665,24377128973,34128038832,47779162159,66891002364,93647479959]</v>
      </c>
      <c r="C97" s="2"/>
      <c r="D97" s="10">
        <v>2291202</v>
      </c>
      <c r="E97" s="10">
        <v>2779017</v>
      </c>
      <c r="F97" s="10">
        <v>3108668</v>
      </c>
      <c r="G97" s="10">
        <v>3875384</v>
      </c>
      <c r="H97" s="10">
        <v>4519669</v>
      </c>
      <c r="I97" s="10">
        <v>4452972</v>
      </c>
      <c r="J97" s="10">
        <v>5322245</v>
      </c>
      <c r="K97" s="10">
        <v>6337725</v>
      </c>
      <c r="L97" s="10">
        <v>7671254</v>
      </c>
      <c r="M97" s="10">
        <v>9137969</v>
      </c>
      <c r="N97" s="10">
        <v>14704790</v>
      </c>
      <c r="O97" s="10">
        <v>17643077</v>
      </c>
      <c r="P97" s="10">
        <v>21198507</v>
      </c>
      <c r="Q97" s="10">
        <v>25397995</v>
      </c>
      <c r="R97" s="10">
        <v>30620051</v>
      </c>
      <c r="S97" s="10">
        <v>147370216</v>
      </c>
      <c r="T97" s="10">
        <v>176696327</v>
      </c>
      <c r="U97" s="10">
        <v>212239626</v>
      </c>
      <c r="V97" s="10">
        <v>254790302</v>
      </c>
      <c r="W97" s="10">
        <v>305646844</v>
      </c>
      <c r="X97" s="10">
        <v>315674878</v>
      </c>
      <c r="Y97" s="10">
        <v>441970154</v>
      </c>
      <c r="Z97" s="10">
        <v>618688262</v>
      </c>
      <c r="AA97" s="10">
        <v>866346005</v>
      </c>
      <c r="AB97" s="10">
        <v>1212774535</v>
      </c>
      <c r="AC97" s="10">
        <v>6344157285</v>
      </c>
      <c r="AD97" s="10">
        <v>7612795043</v>
      </c>
      <c r="AE97" s="10">
        <v>9135366399</v>
      </c>
      <c r="AF97" s="10">
        <v>10962476029</v>
      </c>
      <c r="AG97" s="10">
        <v>13154930665</v>
      </c>
      <c r="AH97" s="10">
        <v>24377128973</v>
      </c>
      <c r="AI97" s="10">
        <v>34128038832</v>
      </c>
      <c r="AJ97" s="10">
        <v>47779162159</v>
      </c>
      <c r="AK97" s="10">
        <v>66891002364</v>
      </c>
      <c r="AL97" s="10">
        <v>93647479959</v>
      </c>
    </row>
    <row r="98" spans="1:38" ht="16.5" customHeight="1">
      <c r="A98" s="2">
        <v>97</v>
      </c>
      <c r="B98" s="23" t="str">
        <f t="shared" si="2"/>
        <v>[2405762,2917968,3264101,4069153,4745652,4675621,5588357,6654611,8054817,9594867,15440030,18525231,22258432,26667895,32151054,154738727,185531143,222851607,267529817,320929186,331458622,464068662,649622675,909663305,1273413262,6661365149,7993434795,9592134719,11510599830,13812677198,25595985422,35834440774,50168120267,70235552482,98329853957]</v>
      </c>
      <c r="C98" s="2"/>
      <c r="D98" s="10">
        <v>2405762</v>
      </c>
      <c r="E98" s="10">
        <v>2917968</v>
      </c>
      <c r="F98" s="10">
        <v>3264101</v>
      </c>
      <c r="G98" s="10">
        <v>4069153</v>
      </c>
      <c r="H98" s="10">
        <v>4745652</v>
      </c>
      <c r="I98" s="10">
        <v>4675621</v>
      </c>
      <c r="J98" s="10">
        <v>5588357</v>
      </c>
      <c r="K98" s="10">
        <v>6654611</v>
      </c>
      <c r="L98" s="10">
        <v>8054817</v>
      </c>
      <c r="M98" s="10">
        <v>9594867</v>
      </c>
      <c r="N98" s="10">
        <v>15440030</v>
      </c>
      <c r="O98" s="10">
        <v>18525231</v>
      </c>
      <c r="P98" s="10">
        <v>22258432</v>
      </c>
      <c r="Q98" s="10">
        <v>26667895</v>
      </c>
      <c r="R98" s="10">
        <v>32151054</v>
      </c>
      <c r="S98" s="10">
        <v>154738727</v>
      </c>
      <c r="T98" s="10">
        <v>185531143</v>
      </c>
      <c r="U98" s="10">
        <v>222851607</v>
      </c>
      <c r="V98" s="10">
        <v>267529817</v>
      </c>
      <c r="W98" s="10">
        <v>320929186</v>
      </c>
      <c r="X98" s="10">
        <v>331458622</v>
      </c>
      <c r="Y98" s="10">
        <v>464068662</v>
      </c>
      <c r="Z98" s="10">
        <v>649622675</v>
      </c>
      <c r="AA98" s="10">
        <v>909663305</v>
      </c>
      <c r="AB98" s="10">
        <v>1273413262</v>
      </c>
      <c r="AC98" s="10">
        <v>6661365149</v>
      </c>
      <c r="AD98" s="10">
        <v>7993434795</v>
      </c>
      <c r="AE98" s="10">
        <v>9592134719</v>
      </c>
      <c r="AF98" s="10">
        <v>11510599830</v>
      </c>
      <c r="AG98" s="10">
        <v>13812677198</v>
      </c>
      <c r="AH98" s="10">
        <v>25595985422</v>
      </c>
      <c r="AI98" s="10">
        <v>35834440774</v>
      </c>
      <c r="AJ98" s="10">
        <v>50168120267</v>
      </c>
      <c r="AK98" s="10">
        <v>70235552482</v>
      </c>
      <c r="AL98" s="10">
        <v>98329853957</v>
      </c>
    </row>
    <row r="99" spans="1:38" ht="16.5" customHeight="1">
      <c r="A99" s="2">
        <v>98</v>
      </c>
      <c r="B99" s="23" t="str">
        <f t="shared" si="2"/>
        <v>[2526050,3063866,3427306,4272611,4982935,4909402,5867775,6987342,8457558,10074610,16212032,19451493,23371354,28001290,33758607,162475663,194807700,233994187,280906308,336975645,348031553,487272095,682103809,955146470,1337083925,6994433406,8393106535,10071741455,12086129822,14503311058,26875784693,37626162813,52676526280,73747330106,103246346655]</v>
      </c>
      <c r="C99" s="2"/>
      <c r="D99" s="10">
        <v>2526050</v>
      </c>
      <c r="E99" s="10">
        <v>3063866</v>
      </c>
      <c r="F99" s="10">
        <v>3427306</v>
      </c>
      <c r="G99" s="10">
        <v>4272611</v>
      </c>
      <c r="H99" s="10">
        <v>4982935</v>
      </c>
      <c r="I99" s="10">
        <v>4909402</v>
      </c>
      <c r="J99" s="10">
        <v>5867775</v>
      </c>
      <c r="K99" s="10">
        <v>6987342</v>
      </c>
      <c r="L99" s="10">
        <v>8457558</v>
      </c>
      <c r="M99" s="10">
        <v>10074610</v>
      </c>
      <c r="N99" s="10">
        <v>16212032</v>
      </c>
      <c r="O99" s="10">
        <v>19451493</v>
      </c>
      <c r="P99" s="10">
        <v>23371354</v>
      </c>
      <c r="Q99" s="10">
        <v>28001290</v>
      </c>
      <c r="R99" s="10">
        <v>33758607</v>
      </c>
      <c r="S99" s="10">
        <v>162475663</v>
      </c>
      <c r="T99" s="10">
        <v>194807700</v>
      </c>
      <c r="U99" s="10">
        <v>233994187</v>
      </c>
      <c r="V99" s="10">
        <v>280906308</v>
      </c>
      <c r="W99" s="10">
        <v>336975645</v>
      </c>
      <c r="X99" s="10">
        <v>348031553</v>
      </c>
      <c r="Y99" s="10">
        <v>487272095</v>
      </c>
      <c r="Z99" s="10">
        <v>682103809</v>
      </c>
      <c r="AA99" s="10">
        <v>955146470</v>
      </c>
      <c r="AB99" s="10">
        <v>1337083925</v>
      </c>
      <c r="AC99" s="10">
        <v>6994433406</v>
      </c>
      <c r="AD99" s="10">
        <v>8393106535</v>
      </c>
      <c r="AE99" s="10">
        <v>10071741455</v>
      </c>
      <c r="AF99" s="10">
        <v>12086129822</v>
      </c>
      <c r="AG99" s="10">
        <v>14503311058</v>
      </c>
      <c r="AH99" s="10">
        <v>26875784693</v>
      </c>
      <c r="AI99" s="10">
        <v>37626162813</v>
      </c>
      <c r="AJ99" s="10">
        <v>52676526280</v>
      </c>
      <c r="AK99" s="10">
        <v>73747330106</v>
      </c>
      <c r="AL99" s="10">
        <v>103246346655</v>
      </c>
    </row>
    <row r="100" spans="1:38" ht="16.5" customHeight="1">
      <c r="A100" s="2">
        <v>99</v>
      </c>
      <c r="B100" s="23" t="str">
        <f t="shared" ref="B100:B130" si="3">"[" &amp; $D100 &amp; "," &amp; $E100 &amp; "," &amp; $F100 &amp; "," &amp; $G100 &amp; "," &amp; $H100 &amp; "," &amp; $I100 &amp; "," &amp; $J100 &amp; "," &amp; $K100 &amp; "," &amp; $L100 &amp; "," &amp; $M100 &amp; "," &amp; $N100 &amp; "," &amp; $O100 &amp; "," &amp; $P100 &amp; "," &amp; $Q100 &amp; "," &amp; $R100 &amp; "," &amp; $S100 &amp; "," &amp; $T100 &amp; "," &amp; $U100 &amp; "," &amp; $V100 &amp; "," &amp; $W100 &amp; "," &amp; $X100 &amp; "," &amp; $Y100 &amp; "," &amp; $Z100 &amp; "," &amp; $AA100 &amp; "," &amp; $AB100 &amp; "," &amp; $AC100 &amp; "," &amp; $AD100 &amp; "," &amp; $AE100 &amp; "," &amp; $AF100 &amp; "," &amp; $AG100 &amp; "," &amp; $AH100 &amp; "," &amp; $AI100 &amp; "," &amp; $AJ100 &amp; "," &amp; $AK100 &amp; "," &amp; $AL100 &amp; "]"</f>
        <v>[2652353,3217059,3598671,4486242,5232082,5154872,6161164,7336709,8880436,10578341,17022634,20424068,24539922,29401355,35446537,170599446,204548085,245693896,294951623,353824427,365433131,511635700,716208999,1002903794,1403938121,7344155076,8812761862,10575328528,12690436313,15228476611,28219573928,39507470954,55310352594,77434696611,108408663988]</v>
      </c>
      <c r="C100" s="2"/>
      <c r="D100" s="10">
        <v>2652353</v>
      </c>
      <c r="E100" s="10">
        <v>3217059</v>
      </c>
      <c r="F100" s="10">
        <v>3598671</v>
      </c>
      <c r="G100" s="10">
        <v>4486242</v>
      </c>
      <c r="H100" s="10">
        <v>5232082</v>
      </c>
      <c r="I100" s="10">
        <v>5154872</v>
      </c>
      <c r="J100" s="10">
        <v>6161164</v>
      </c>
      <c r="K100" s="10">
        <v>7336709</v>
      </c>
      <c r="L100" s="10">
        <v>8880436</v>
      </c>
      <c r="M100" s="10">
        <v>10578341</v>
      </c>
      <c r="N100" s="10">
        <v>17022634</v>
      </c>
      <c r="O100" s="10">
        <v>20424068</v>
      </c>
      <c r="P100" s="10">
        <v>24539922</v>
      </c>
      <c r="Q100" s="10">
        <v>29401355</v>
      </c>
      <c r="R100" s="10">
        <v>35446537</v>
      </c>
      <c r="S100" s="10">
        <v>170599446</v>
      </c>
      <c r="T100" s="10">
        <v>204548085</v>
      </c>
      <c r="U100" s="10">
        <v>245693896</v>
      </c>
      <c r="V100" s="10">
        <v>294951623</v>
      </c>
      <c r="W100" s="10">
        <v>353824427</v>
      </c>
      <c r="X100" s="10">
        <v>365433131</v>
      </c>
      <c r="Y100" s="10">
        <v>511635700</v>
      </c>
      <c r="Z100" s="10">
        <v>716208999</v>
      </c>
      <c r="AA100" s="10">
        <v>1002903794</v>
      </c>
      <c r="AB100" s="10">
        <v>1403938121</v>
      </c>
      <c r="AC100" s="10">
        <v>7344155076</v>
      </c>
      <c r="AD100" s="10">
        <v>8812761862</v>
      </c>
      <c r="AE100" s="10">
        <v>10575328528</v>
      </c>
      <c r="AF100" s="10">
        <v>12690436313</v>
      </c>
      <c r="AG100" s="10">
        <v>15228476611</v>
      </c>
      <c r="AH100" s="10">
        <v>28219573928</v>
      </c>
      <c r="AI100" s="10">
        <v>39507470954</v>
      </c>
      <c r="AJ100" s="10">
        <v>55310352594</v>
      </c>
      <c r="AK100" s="10">
        <v>77434696611</v>
      </c>
      <c r="AL100" s="10">
        <v>108408663988</v>
      </c>
    </row>
    <row r="101" spans="1:38" ht="16.5" customHeight="1">
      <c r="A101" s="2">
        <v>100</v>
      </c>
      <c r="B101" s="23" t="str">
        <f t="shared" si="3"/>
        <v>[2784971,3377912,3778605,4710554,5493686,5412616,6469222,7703544,9324458,11107258,17873766,21445271,25766918,30871423,37218864,179129418,214775489,257978591,309699204,371515648,383704788,537217485,752019449,1053048984,1474135027,7711362830,9253399955,11104094954,13324958129,15989900442,29630552624,41482844502,58075870224,81306431442,113829097187]</v>
      </c>
      <c r="C101" s="2"/>
      <c r="D101" s="10">
        <v>2784971</v>
      </c>
      <c r="E101" s="10">
        <v>3377912</v>
      </c>
      <c r="F101" s="10">
        <v>3778605</v>
      </c>
      <c r="G101" s="10">
        <v>4710554</v>
      </c>
      <c r="H101" s="10">
        <v>5493686</v>
      </c>
      <c r="I101" s="10">
        <v>5412616</v>
      </c>
      <c r="J101" s="10">
        <v>6469222</v>
      </c>
      <c r="K101" s="10">
        <v>7703544</v>
      </c>
      <c r="L101" s="10">
        <v>9324458</v>
      </c>
      <c r="M101" s="10">
        <v>11107258</v>
      </c>
      <c r="N101" s="10">
        <v>17873766</v>
      </c>
      <c r="O101" s="10">
        <v>21445271</v>
      </c>
      <c r="P101" s="10">
        <v>25766918</v>
      </c>
      <c r="Q101" s="10">
        <v>30871423</v>
      </c>
      <c r="R101" s="10">
        <v>37218864</v>
      </c>
      <c r="S101" s="10">
        <v>179129418</v>
      </c>
      <c r="T101" s="10">
        <v>214775489</v>
      </c>
      <c r="U101" s="10">
        <v>257978591</v>
      </c>
      <c r="V101" s="10">
        <v>309699204</v>
      </c>
      <c r="W101" s="10">
        <v>371515648</v>
      </c>
      <c r="X101" s="10">
        <v>383704788</v>
      </c>
      <c r="Y101" s="10">
        <v>537217485</v>
      </c>
      <c r="Z101" s="10">
        <v>752019449</v>
      </c>
      <c r="AA101" s="10">
        <v>1053048984</v>
      </c>
      <c r="AB101" s="10">
        <v>1474135027</v>
      </c>
      <c r="AC101" s="10">
        <v>7711362830</v>
      </c>
      <c r="AD101" s="10">
        <v>9253399955</v>
      </c>
      <c r="AE101" s="10">
        <v>11104094954</v>
      </c>
      <c r="AF101" s="10">
        <v>13324958129</v>
      </c>
      <c r="AG101" s="10">
        <v>15989900442</v>
      </c>
      <c r="AH101" s="10">
        <v>29630552624</v>
      </c>
      <c r="AI101" s="10">
        <v>41482844502</v>
      </c>
      <c r="AJ101" s="10">
        <v>58075870224</v>
      </c>
      <c r="AK101" s="10">
        <v>81306431442</v>
      </c>
      <c r="AL101" s="10">
        <v>113829097187</v>
      </c>
    </row>
    <row r="102" spans="1:38" ht="16.5" customHeight="1">
      <c r="A102" s="2">
        <v>101</v>
      </c>
      <c r="B102" s="23" t="str">
        <f t="shared" si="3"/>
        <v>[2924220,3546808,3967535,4946082,5768370,5683247,6792683,8088721,9790681,11662621,18767454,22517535,27055264,32414994,39079807,188085889,225514263,270877521,325184164,390091430,402890027,564078359,789620421,1105701433,1547841778,8096930972,9716069953,11659299702,13991206035,16789395464,31112080255,43556986727,60979663735,85371753014,119520552046]</v>
      </c>
      <c r="C102" s="2"/>
      <c r="D102" s="10">
        <v>2924220</v>
      </c>
      <c r="E102" s="10">
        <v>3546808</v>
      </c>
      <c r="F102" s="10">
        <v>3967535</v>
      </c>
      <c r="G102" s="10">
        <v>4946082</v>
      </c>
      <c r="H102" s="10">
        <v>5768370</v>
      </c>
      <c r="I102" s="10">
        <v>5683247</v>
      </c>
      <c r="J102" s="10">
        <v>6792683</v>
      </c>
      <c r="K102" s="10">
        <v>8088721</v>
      </c>
      <c r="L102" s="10">
        <v>9790681</v>
      </c>
      <c r="M102" s="10">
        <v>11662621</v>
      </c>
      <c r="N102" s="10">
        <v>18767454</v>
      </c>
      <c r="O102" s="10">
        <v>22517535</v>
      </c>
      <c r="P102" s="10">
        <v>27055264</v>
      </c>
      <c r="Q102" s="10">
        <v>32414994</v>
      </c>
      <c r="R102" s="10">
        <v>39079807</v>
      </c>
      <c r="S102" s="10">
        <v>188085889</v>
      </c>
      <c r="T102" s="10">
        <v>225514263</v>
      </c>
      <c r="U102" s="10">
        <v>270877521</v>
      </c>
      <c r="V102" s="10">
        <v>325184164</v>
      </c>
      <c r="W102" s="10">
        <v>390091430</v>
      </c>
      <c r="X102" s="10">
        <v>402890027</v>
      </c>
      <c r="Y102" s="10">
        <v>564078359</v>
      </c>
      <c r="Z102" s="10">
        <v>789620421</v>
      </c>
      <c r="AA102" s="10">
        <v>1105701433</v>
      </c>
      <c r="AB102" s="10">
        <v>1547841778</v>
      </c>
      <c r="AC102" s="10">
        <v>8096930972</v>
      </c>
      <c r="AD102" s="10">
        <v>9716069953</v>
      </c>
      <c r="AE102" s="10">
        <v>11659299702</v>
      </c>
      <c r="AF102" s="10">
        <v>13991206035</v>
      </c>
      <c r="AG102" s="10">
        <v>16789395464</v>
      </c>
      <c r="AH102" s="10">
        <v>31112080255</v>
      </c>
      <c r="AI102" s="10">
        <v>43556986727</v>
      </c>
      <c r="AJ102" s="10">
        <v>60979663735</v>
      </c>
      <c r="AK102" s="10">
        <v>85371753014</v>
      </c>
      <c r="AL102" s="10">
        <v>119520552046</v>
      </c>
    </row>
    <row r="103" spans="1:38" ht="16.5" customHeight="1">
      <c r="A103" s="2">
        <v>102</v>
      </c>
      <c r="B103" s="23" t="str">
        <f t="shared" si="3"/>
        <v>[3070431,3724148,4165912,5193386,6056789,5967409,7132317,8493157,10280215,12245752,19705827,23643412,28408027,34035744,41033797,197490183,236789976,284421397,341443372,409596002,423034528,592282277,829101442,1160986505,1625233867,8501777521,10201873451,12242264687,14690766337,17628865237,32667684268,45734836063,64028646922,89640340665,125496579648]</v>
      </c>
      <c r="C103" s="2"/>
      <c r="D103" s="10">
        <v>3070431</v>
      </c>
      <c r="E103" s="10">
        <v>3724148</v>
      </c>
      <c r="F103" s="10">
        <v>4165912</v>
      </c>
      <c r="G103" s="10">
        <v>5193386</v>
      </c>
      <c r="H103" s="10">
        <v>6056789</v>
      </c>
      <c r="I103" s="10">
        <v>5967409</v>
      </c>
      <c r="J103" s="10">
        <v>7132317</v>
      </c>
      <c r="K103" s="10">
        <v>8493157</v>
      </c>
      <c r="L103" s="10">
        <v>10280215</v>
      </c>
      <c r="M103" s="10">
        <v>12245752</v>
      </c>
      <c r="N103" s="10">
        <v>19705827</v>
      </c>
      <c r="O103" s="10">
        <v>23643412</v>
      </c>
      <c r="P103" s="10">
        <v>28408027</v>
      </c>
      <c r="Q103" s="10">
        <v>34035744</v>
      </c>
      <c r="R103" s="10">
        <v>41033797</v>
      </c>
      <c r="S103" s="10">
        <v>197490183</v>
      </c>
      <c r="T103" s="10">
        <v>236789976</v>
      </c>
      <c r="U103" s="10">
        <v>284421397</v>
      </c>
      <c r="V103" s="10">
        <v>341443372</v>
      </c>
      <c r="W103" s="10">
        <v>409596002</v>
      </c>
      <c r="X103" s="10">
        <v>423034528</v>
      </c>
      <c r="Y103" s="10">
        <v>592282277</v>
      </c>
      <c r="Z103" s="10">
        <v>829101442</v>
      </c>
      <c r="AA103" s="10">
        <v>1160986505</v>
      </c>
      <c r="AB103" s="10">
        <v>1625233867</v>
      </c>
      <c r="AC103" s="10">
        <v>8501777521</v>
      </c>
      <c r="AD103" s="10">
        <v>10201873451</v>
      </c>
      <c r="AE103" s="10">
        <v>12242264687</v>
      </c>
      <c r="AF103" s="10">
        <v>14690766337</v>
      </c>
      <c r="AG103" s="10">
        <v>17628865237</v>
      </c>
      <c r="AH103" s="10">
        <v>32667684268</v>
      </c>
      <c r="AI103" s="10">
        <v>45734836063</v>
      </c>
      <c r="AJ103" s="10">
        <v>64028646922</v>
      </c>
      <c r="AK103" s="10">
        <v>89640340665</v>
      </c>
      <c r="AL103" s="10">
        <v>125496579648</v>
      </c>
    </row>
    <row r="104" spans="1:38" ht="16.5" customHeight="1">
      <c r="A104" s="2">
        <v>103</v>
      </c>
      <c r="B104" s="23" t="str">
        <f t="shared" si="3"/>
        <v>[3223953,3910355,4374208,5453055,6359628,6265779,7488933,8917815,10794226,12858040,20691118,24825583,29828428,35737531,43085487,207364692,248629475,298642467,358515541,430075802,444186254,621896391,870556514,1219035830,1706495560,8926866397,10711967124,12854377921,15425304654,18510308499,34301068481,48021577866,67230079268,94122357698,131771408630]</v>
      </c>
      <c r="C104" s="2"/>
      <c r="D104" s="10">
        <v>3223953</v>
      </c>
      <c r="E104" s="10">
        <v>3910355</v>
      </c>
      <c r="F104" s="10">
        <v>4374208</v>
      </c>
      <c r="G104" s="10">
        <v>5453055</v>
      </c>
      <c r="H104" s="10">
        <v>6359628</v>
      </c>
      <c r="I104" s="10">
        <v>6265779</v>
      </c>
      <c r="J104" s="10">
        <v>7488933</v>
      </c>
      <c r="K104" s="10">
        <v>8917815</v>
      </c>
      <c r="L104" s="10">
        <v>10794226</v>
      </c>
      <c r="M104" s="10">
        <v>12858040</v>
      </c>
      <c r="N104" s="10">
        <v>20691118</v>
      </c>
      <c r="O104" s="10">
        <v>24825583</v>
      </c>
      <c r="P104" s="10">
        <v>29828428</v>
      </c>
      <c r="Q104" s="10">
        <v>35737531</v>
      </c>
      <c r="R104" s="10">
        <v>43085487</v>
      </c>
      <c r="S104" s="10">
        <v>207364692</v>
      </c>
      <c r="T104" s="10">
        <v>248629475</v>
      </c>
      <c r="U104" s="10">
        <v>298642467</v>
      </c>
      <c r="V104" s="10">
        <v>358515541</v>
      </c>
      <c r="W104" s="10">
        <v>430075802</v>
      </c>
      <c r="X104" s="10">
        <v>444186254</v>
      </c>
      <c r="Y104" s="10">
        <v>621896391</v>
      </c>
      <c r="Z104" s="10">
        <v>870556514</v>
      </c>
      <c r="AA104" s="10">
        <v>1219035830</v>
      </c>
      <c r="AB104" s="10">
        <v>1706495560</v>
      </c>
      <c r="AC104" s="10">
        <v>8926866397</v>
      </c>
      <c r="AD104" s="10">
        <v>10711967124</v>
      </c>
      <c r="AE104" s="10">
        <v>12854377921</v>
      </c>
      <c r="AF104" s="10">
        <v>15425304654</v>
      </c>
      <c r="AG104" s="10">
        <v>18510308499</v>
      </c>
      <c r="AH104" s="10">
        <v>34301068481</v>
      </c>
      <c r="AI104" s="10">
        <v>48021577866</v>
      </c>
      <c r="AJ104" s="10">
        <v>67230079268</v>
      </c>
      <c r="AK104" s="10">
        <v>94122357698</v>
      </c>
      <c r="AL104" s="10">
        <v>131771408630</v>
      </c>
    </row>
    <row r="105" spans="1:38" ht="16.5" customHeight="1">
      <c r="A105" s="2">
        <v>104</v>
      </c>
      <c r="B105" s="23" t="str">
        <f t="shared" si="3"/>
        <v>[3385151,4105873,4592918,5725708,6677609,6579068,7863380,9363706,11333937,13500942,21725674,26066862,31319849,37524408,45239761,217732927,261060949,313574590,376441318,451579592,466395567,652991211,914084340,1279987622,1791820338,9373209717,11247565480,13497096817,16196569887,19435823924,36016121905,50422656759,70591583231,98828475583,138359979062]</v>
      </c>
      <c r="C105" s="2"/>
      <c r="D105" s="10">
        <v>3385151</v>
      </c>
      <c r="E105" s="10">
        <v>4105873</v>
      </c>
      <c r="F105" s="10">
        <v>4592918</v>
      </c>
      <c r="G105" s="10">
        <v>5725708</v>
      </c>
      <c r="H105" s="10">
        <v>6677609</v>
      </c>
      <c r="I105" s="10">
        <v>6579068</v>
      </c>
      <c r="J105" s="10">
        <v>7863380</v>
      </c>
      <c r="K105" s="10">
        <v>9363706</v>
      </c>
      <c r="L105" s="10">
        <v>11333937</v>
      </c>
      <c r="M105" s="10">
        <v>13500942</v>
      </c>
      <c r="N105" s="10">
        <v>21725674</v>
      </c>
      <c r="O105" s="10">
        <v>26066862</v>
      </c>
      <c r="P105" s="10">
        <v>31319849</v>
      </c>
      <c r="Q105" s="10">
        <v>37524408</v>
      </c>
      <c r="R105" s="10">
        <v>45239761</v>
      </c>
      <c r="S105" s="10">
        <v>217732927</v>
      </c>
      <c r="T105" s="10">
        <v>261060949</v>
      </c>
      <c r="U105" s="10">
        <v>313574590</v>
      </c>
      <c r="V105" s="10">
        <v>376441318</v>
      </c>
      <c r="W105" s="10">
        <v>451579592</v>
      </c>
      <c r="X105" s="10">
        <v>466395567</v>
      </c>
      <c r="Y105" s="10">
        <v>652991211</v>
      </c>
      <c r="Z105" s="10">
        <v>914084340</v>
      </c>
      <c r="AA105" s="10">
        <v>1279987622</v>
      </c>
      <c r="AB105" s="10">
        <v>1791820338</v>
      </c>
      <c r="AC105" s="10">
        <v>9373209717</v>
      </c>
      <c r="AD105" s="10">
        <v>11247565480</v>
      </c>
      <c r="AE105" s="10">
        <v>13497096817</v>
      </c>
      <c r="AF105" s="10">
        <v>16196569887</v>
      </c>
      <c r="AG105" s="10">
        <v>19435823924</v>
      </c>
      <c r="AH105" s="10">
        <v>36016121905</v>
      </c>
      <c r="AI105" s="10">
        <v>50422656759</v>
      </c>
      <c r="AJ105" s="10">
        <v>70591583231</v>
      </c>
      <c r="AK105" s="10">
        <v>98828475583</v>
      </c>
      <c r="AL105" s="10">
        <v>138359979062</v>
      </c>
    </row>
    <row r="106" spans="1:38" ht="16.5" customHeight="1">
      <c r="A106" s="2">
        <v>105</v>
      </c>
      <c r="B106" s="23" t="str">
        <f t="shared" si="3"/>
        <v>[3554409,4311167,4822564,6011993,7011489,6908021,8256549,9831891,11900634,14175989,22811958,27370205,32885841,39400628,47501749,228619573,274113996,329253320,395263384,474158572,489715345,685640772,959788557,1343987003,1881411355,9841870203,11809943754,14171951658,17006398381,20407615120,37816928000,52943789597,74121162393,103769899362,145277978015]</v>
      </c>
      <c r="C106" s="2"/>
      <c r="D106" s="10">
        <v>3554409</v>
      </c>
      <c r="E106" s="10">
        <v>4311167</v>
      </c>
      <c r="F106" s="10">
        <v>4822564</v>
      </c>
      <c r="G106" s="10">
        <v>6011993</v>
      </c>
      <c r="H106" s="10">
        <v>7011489</v>
      </c>
      <c r="I106" s="10">
        <v>6908021</v>
      </c>
      <c r="J106" s="10">
        <v>8256549</v>
      </c>
      <c r="K106" s="10">
        <v>9831891</v>
      </c>
      <c r="L106" s="10">
        <v>11900634</v>
      </c>
      <c r="M106" s="10">
        <v>14175989</v>
      </c>
      <c r="N106" s="10">
        <v>22811958</v>
      </c>
      <c r="O106" s="10">
        <v>27370205</v>
      </c>
      <c r="P106" s="10">
        <v>32885841</v>
      </c>
      <c r="Q106" s="10">
        <v>39400628</v>
      </c>
      <c r="R106" s="10">
        <v>47501749</v>
      </c>
      <c r="S106" s="10">
        <v>228619573</v>
      </c>
      <c r="T106" s="10">
        <v>274113996</v>
      </c>
      <c r="U106" s="10">
        <v>329253320</v>
      </c>
      <c r="V106" s="10">
        <v>395263384</v>
      </c>
      <c r="W106" s="10">
        <v>474158572</v>
      </c>
      <c r="X106" s="10">
        <v>489715345</v>
      </c>
      <c r="Y106" s="10">
        <v>685640772</v>
      </c>
      <c r="Z106" s="10">
        <v>959788557</v>
      </c>
      <c r="AA106" s="10">
        <v>1343987003</v>
      </c>
      <c r="AB106" s="10">
        <v>1881411355</v>
      </c>
      <c r="AC106" s="10">
        <v>9841870203</v>
      </c>
      <c r="AD106" s="10">
        <v>11809943754</v>
      </c>
      <c r="AE106" s="10">
        <v>14171951658</v>
      </c>
      <c r="AF106" s="10">
        <v>17006398381</v>
      </c>
      <c r="AG106" s="10">
        <v>20407615120</v>
      </c>
      <c r="AH106" s="10">
        <v>37816928000</v>
      </c>
      <c r="AI106" s="10">
        <v>52943789597</v>
      </c>
      <c r="AJ106" s="10">
        <v>74121162393</v>
      </c>
      <c r="AK106" s="10">
        <v>103769899362</v>
      </c>
      <c r="AL106" s="10">
        <v>145277978015</v>
      </c>
    </row>
    <row r="107" spans="1:38" ht="16.5" customHeight="1">
      <c r="A107" s="2">
        <v>106</v>
      </c>
      <c r="B107" s="23" t="str">
        <f t="shared" si="3"/>
        <v>[3732129,4526725,5063692,6312593,7362063,7253422,8669376,10323486,12495666,14884788,23952556,28738715,34530133,41370659,49876836,240050552,287819696,345715986,415026553,497866501,514201112,719922811,1007777985,1411186353,1975481923,10333963713,12400440942,14880549241,17856718300,21427995876,39707774400,55590979077,77827220513,108958394330,152541876916]</v>
      </c>
      <c r="C107" s="2"/>
      <c r="D107" s="10">
        <v>3732129</v>
      </c>
      <c r="E107" s="10">
        <v>4526725</v>
      </c>
      <c r="F107" s="10">
        <v>5063692</v>
      </c>
      <c r="G107" s="10">
        <v>6312593</v>
      </c>
      <c r="H107" s="10">
        <v>7362063</v>
      </c>
      <c r="I107" s="10">
        <v>7253422</v>
      </c>
      <c r="J107" s="10">
        <v>8669376</v>
      </c>
      <c r="K107" s="10">
        <v>10323486</v>
      </c>
      <c r="L107" s="10">
        <v>12495666</v>
      </c>
      <c r="M107" s="10">
        <v>14884788</v>
      </c>
      <c r="N107" s="10">
        <v>23952556</v>
      </c>
      <c r="O107" s="10">
        <v>28738715</v>
      </c>
      <c r="P107" s="10">
        <v>34530133</v>
      </c>
      <c r="Q107" s="10">
        <v>41370659</v>
      </c>
      <c r="R107" s="10">
        <v>49876836</v>
      </c>
      <c r="S107" s="10">
        <v>240050552</v>
      </c>
      <c r="T107" s="10">
        <v>287819696</v>
      </c>
      <c r="U107" s="10">
        <v>345715986</v>
      </c>
      <c r="V107" s="10">
        <v>415026553</v>
      </c>
      <c r="W107" s="10">
        <v>497866501</v>
      </c>
      <c r="X107" s="10">
        <v>514201112</v>
      </c>
      <c r="Y107" s="10">
        <v>719922811</v>
      </c>
      <c r="Z107" s="10">
        <v>1007777985</v>
      </c>
      <c r="AA107" s="10">
        <v>1411186353</v>
      </c>
      <c r="AB107" s="10">
        <v>1975481923</v>
      </c>
      <c r="AC107" s="10">
        <v>10333963713</v>
      </c>
      <c r="AD107" s="10">
        <v>12400440942</v>
      </c>
      <c r="AE107" s="10">
        <v>14880549241</v>
      </c>
      <c r="AF107" s="10">
        <v>17856718300</v>
      </c>
      <c r="AG107" s="10">
        <v>21427995876</v>
      </c>
      <c r="AH107" s="10">
        <v>39707774400</v>
      </c>
      <c r="AI107" s="10">
        <v>55590979077</v>
      </c>
      <c r="AJ107" s="10">
        <v>77827220513</v>
      </c>
      <c r="AK107" s="10">
        <v>108958394330</v>
      </c>
      <c r="AL107" s="10">
        <v>152541876916</v>
      </c>
    </row>
    <row r="108" spans="1:38" ht="16.5" customHeight="1">
      <c r="A108" s="2">
        <v>107</v>
      </c>
      <c r="B108" s="23" t="str">
        <f t="shared" si="3"/>
        <v>[3918735,4753061,5316877,6628223,7730166,7616093,9102845,10839660,13120449,15629027,25150184,30175651,36256640,43439192,52370678,252053080,302210681,363001785,435777881,522759826,539911168,755918952,1058166884,1481745671,2074256019,10850661899,13020462989,15624576703,18749554215,22499395670,41693163120,58370528031,81718581539,114406314047,160168970762]</v>
      </c>
      <c r="C108" s="2"/>
      <c r="D108" s="10">
        <v>3918735</v>
      </c>
      <c r="E108" s="10">
        <v>4753061</v>
      </c>
      <c r="F108" s="10">
        <v>5316877</v>
      </c>
      <c r="G108" s="10">
        <v>6628223</v>
      </c>
      <c r="H108" s="10">
        <v>7730166</v>
      </c>
      <c r="I108" s="10">
        <v>7616093</v>
      </c>
      <c r="J108" s="10">
        <v>9102845</v>
      </c>
      <c r="K108" s="10">
        <v>10839660</v>
      </c>
      <c r="L108" s="10">
        <v>13120449</v>
      </c>
      <c r="M108" s="10">
        <v>15629027</v>
      </c>
      <c r="N108" s="10">
        <v>25150184</v>
      </c>
      <c r="O108" s="10">
        <v>30175651</v>
      </c>
      <c r="P108" s="10">
        <v>36256640</v>
      </c>
      <c r="Q108" s="10">
        <v>43439192</v>
      </c>
      <c r="R108" s="10">
        <v>52370678</v>
      </c>
      <c r="S108" s="10">
        <v>252053080</v>
      </c>
      <c r="T108" s="10">
        <v>302210681</v>
      </c>
      <c r="U108" s="10">
        <v>363001785</v>
      </c>
      <c r="V108" s="10">
        <v>435777881</v>
      </c>
      <c r="W108" s="10">
        <v>522759826</v>
      </c>
      <c r="X108" s="10">
        <v>539911168</v>
      </c>
      <c r="Y108" s="10">
        <v>755918952</v>
      </c>
      <c r="Z108" s="10">
        <v>1058166884</v>
      </c>
      <c r="AA108" s="10">
        <v>1481745671</v>
      </c>
      <c r="AB108" s="10">
        <v>2074256019</v>
      </c>
      <c r="AC108" s="10">
        <v>10850661899</v>
      </c>
      <c r="AD108" s="10">
        <v>13020462989</v>
      </c>
      <c r="AE108" s="10">
        <v>15624576703</v>
      </c>
      <c r="AF108" s="10">
        <v>18749554215</v>
      </c>
      <c r="AG108" s="10">
        <v>22499395670</v>
      </c>
      <c r="AH108" s="10">
        <v>41693163120</v>
      </c>
      <c r="AI108" s="10">
        <v>58370528031</v>
      </c>
      <c r="AJ108" s="10">
        <v>81718581539</v>
      </c>
      <c r="AK108" s="10">
        <v>114406314047</v>
      </c>
      <c r="AL108" s="10">
        <v>160168970762</v>
      </c>
    </row>
    <row r="109" spans="1:38" ht="16.5" customHeight="1">
      <c r="A109" s="2">
        <v>108</v>
      </c>
      <c r="B109" s="23" t="str">
        <f t="shared" si="3"/>
        <v>[4114672,4990714,5582721,6959634,8116674,7996898,9557987,11381643,13776471,16410478,26407693,31684434,38069472,45611152,54989212,264655734,317321215,381151874,457566775,548897817,566906726,793714900,1111075228,1555832955,2177968820,11393194994,13671486138,16405805538,19687031926,23624365454,43777821276,61289054433,85804510616,120126629749,168177419300]</v>
      </c>
      <c r="C109" s="2"/>
      <c r="D109" s="10">
        <v>4114672</v>
      </c>
      <c r="E109" s="10">
        <v>4990714</v>
      </c>
      <c r="F109" s="10">
        <v>5582721</v>
      </c>
      <c r="G109" s="10">
        <v>6959634</v>
      </c>
      <c r="H109" s="10">
        <v>8116674</v>
      </c>
      <c r="I109" s="10">
        <v>7996898</v>
      </c>
      <c r="J109" s="10">
        <v>9557987</v>
      </c>
      <c r="K109" s="10">
        <v>11381643</v>
      </c>
      <c r="L109" s="10">
        <v>13776471</v>
      </c>
      <c r="M109" s="10">
        <v>16410478</v>
      </c>
      <c r="N109" s="10">
        <v>26407693</v>
      </c>
      <c r="O109" s="10">
        <v>31684434</v>
      </c>
      <c r="P109" s="10">
        <v>38069472</v>
      </c>
      <c r="Q109" s="10">
        <v>45611152</v>
      </c>
      <c r="R109" s="10">
        <v>54989212</v>
      </c>
      <c r="S109" s="10">
        <v>264655734</v>
      </c>
      <c r="T109" s="10">
        <v>317321215</v>
      </c>
      <c r="U109" s="10">
        <v>381151874</v>
      </c>
      <c r="V109" s="10">
        <v>457566775</v>
      </c>
      <c r="W109" s="10">
        <v>548897817</v>
      </c>
      <c r="X109" s="10">
        <v>566906726</v>
      </c>
      <c r="Y109" s="10">
        <v>793714900</v>
      </c>
      <c r="Z109" s="10">
        <v>1111075228</v>
      </c>
      <c r="AA109" s="10">
        <v>1555832955</v>
      </c>
      <c r="AB109" s="10">
        <v>2177968820</v>
      </c>
      <c r="AC109" s="10">
        <v>11393194994</v>
      </c>
      <c r="AD109" s="10">
        <v>13671486138</v>
      </c>
      <c r="AE109" s="10">
        <v>16405805538</v>
      </c>
      <c r="AF109" s="10">
        <v>19687031926</v>
      </c>
      <c r="AG109" s="10">
        <v>23624365454</v>
      </c>
      <c r="AH109" s="10">
        <v>43777821276</v>
      </c>
      <c r="AI109" s="10">
        <v>61289054433</v>
      </c>
      <c r="AJ109" s="10">
        <v>85804510616</v>
      </c>
      <c r="AK109" s="10">
        <v>120126629749</v>
      </c>
      <c r="AL109" s="10">
        <v>168177419300</v>
      </c>
    </row>
    <row r="110" spans="1:38" ht="16.5" customHeight="1">
      <c r="A110" s="2">
        <v>109</v>
      </c>
      <c r="B110" s="23" t="str">
        <f t="shared" si="3"/>
        <v>[4320406,5240250,5861857,7307616,8522508,8396743,10035886,11950725,14465295,17231002,27728078,33268656,39972946,47891710,57738673,277888521,333187276,400209468,480445114,576342708,595252062,833400645,1166628989,1633624603,2286867261,11962854744,14355060445,17226095815,20671383522,24805583727,45966712340,64353507155,90094736147,126132961236,176586290265]</v>
      </c>
      <c r="C110" s="2"/>
      <c r="D110" s="10">
        <v>4320406</v>
      </c>
      <c r="E110" s="10">
        <v>5240250</v>
      </c>
      <c r="F110" s="10">
        <v>5861857</v>
      </c>
      <c r="G110" s="10">
        <v>7307616</v>
      </c>
      <c r="H110" s="10">
        <v>8522508</v>
      </c>
      <c r="I110" s="10">
        <v>8396743</v>
      </c>
      <c r="J110" s="10">
        <v>10035886</v>
      </c>
      <c r="K110" s="10">
        <v>11950725</v>
      </c>
      <c r="L110" s="10">
        <v>14465295</v>
      </c>
      <c r="M110" s="10">
        <v>17231002</v>
      </c>
      <c r="N110" s="10">
        <v>27728078</v>
      </c>
      <c r="O110" s="10">
        <v>33268656</v>
      </c>
      <c r="P110" s="10">
        <v>39972946</v>
      </c>
      <c r="Q110" s="10">
        <v>47891710</v>
      </c>
      <c r="R110" s="10">
        <v>57738673</v>
      </c>
      <c r="S110" s="10">
        <v>277888521</v>
      </c>
      <c r="T110" s="10">
        <v>333187276</v>
      </c>
      <c r="U110" s="10">
        <v>400209468</v>
      </c>
      <c r="V110" s="10">
        <v>480445114</v>
      </c>
      <c r="W110" s="10">
        <v>576342708</v>
      </c>
      <c r="X110" s="10">
        <v>595252062</v>
      </c>
      <c r="Y110" s="10">
        <v>833400645</v>
      </c>
      <c r="Z110" s="10">
        <v>1166628989</v>
      </c>
      <c r="AA110" s="10">
        <v>1633624603</v>
      </c>
      <c r="AB110" s="10">
        <v>2286867261</v>
      </c>
      <c r="AC110" s="10">
        <v>11962854744</v>
      </c>
      <c r="AD110" s="10">
        <v>14355060445</v>
      </c>
      <c r="AE110" s="10">
        <v>17226095815</v>
      </c>
      <c r="AF110" s="10">
        <v>20671383522</v>
      </c>
      <c r="AG110" s="10">
        <v>24805583727</v>
      </c>
      <c r="AH110" s="10">
        <v>45966712340</v>
      </c>
      <c r="AI110" s="10">
        <v>64353507155</v>
      </c>
      <c r="AJ110" s="10">
        <v>90094736147</v>
      </c>
      <c r="AK110" s="10">
        <v>126132961236</v>
      </c>
      <c r="AL110" s="10">
        <v>176586290265</v>
      </c>
    </row>
    <row r="111" spans="1:38" ht="16.5" customHeight="1">
      <c r="A111" s="2">
        <v>110</v>
      </c>
      <c r="B111" s="23" t="str">
        <f t="shared" si="3"/>
        <v>[4536426,5502263,6154950,7672997,8948633,8816580,10537680,12548261,15188560,18092552,29114482,34932089,41971593,50286296,60625607,291782947,349846640,420219941,504467370,605159843,625014665,875070677,1224960438,1715305833,2401210624,12560997481,15072813467,18087400606,21704952698,26045862913,48265047957,67571182513,94599472954,132439609298,185415604778]</v>
      </c>
      <c r="C111" s="2"/>
      <c r="D111" s="10">
        <v>4536426</v>
      </c>
      <c r="E111" s="10">
        <v>5502263</v>
      </c>
      <c r="F111" s="10">
        <v>6154950</v>
      </c>
      <c r="G111" s="10">
        <v>7672997</v>
      </c>
      <c r="H111" s="10">
        <v>8948633</v>
      </c>
      <c r="I111" s="10">
        <v>8816580</v>
      </c>
      <c r="J111" s="10">
        <v>10537680</v>
      </c>
      <c r="K111" s="10">
        <v>12548261</v>
      </c>
      <c r="L111" s="10">
        <v>15188560</v>
      </c>
      <c r="M111" s="10">
        <v>18092552</v>
      </c>
      <c r="N111" s="10">
        <v>29114482</v>
      </c>
      <c r="O111" s="10">
        <v>34932089</v>
      </c>
      <c r="P111" s="10">
        <v>41971593</v>
      </c>
      <c r="Q111" s="10">
        <v>50286296</v>
      </c>
      <c r="R111" s="10">
        <v>60625607</v>
      </c>
      <c r="S111" s="10">
        <v>291782947</v>
      </c>
      <c r="T111" s="10">
        <v>349846640</v>
      </c>
      <c r="U111" s="10">
        <v>420219941</v>
      </c>
      <c r="V111" s="10">
        <v>504467370</v>
      </c>
      <c r="W111" s="10">
        <v>605159843</v>
      </c>
      <c r="X111" s="10">
        <v>625014665</v>
      </c>
      <c r="Y111" s="10">
        <v>875070677</v>
      </c>
      <c r="Z111" s="10">
        <v>1224960438</v>
      </c>
      <c r="AA111" s="10">
        <v>1715305833</v>
      </c>
      <c r="AB111" s="10">
        <v>2401210624</v>
      </c>
      <c r="AC111" s="10">
        <v>12560997481</v>
      </c>
      <c r="AD111" s="10">
        <v>15072813467</v>
      </c>
      <c r="AE111" s="10">
        <v>18087400606</v>
      </c>
      <c r="AF111" s="10">
        <v>21704952698</v>
      </c>
      <c r="AG111" s="10">
        <v>26045862913</v>
      </c>
      <c r="AH111" s="10">
        <v>48265047957</v>
      </c>
      <c r="AI111" s="10">
        <v>67571182513</v>
      </c>
      <c r="AJ111" s="10">
        <v>94599472954</v>
      </c>
      <c r="AK111" s="10">
        <v>132439609298</v>
      </c>
      <c r="AL111" s="10">
        <v>185415604778</v>
      </c>
    </row>
    <row r="112" spans="1:38" ht="16.5" customHeight="1">
      <c r="A112" s="2">
        <v>111</v>
      </c>
      <c r="B112" s="23" t="str">
        <f t="shared" si="3"/>
        <v>[4763247,5777376,6462698,8056647,9396065,9257409,11064564,13175674,15947988,18997180,30570206,36678693,44070173,52800611,63656887,306372094,367338972,441230938,529690739,635417835,656265398,918824211,1286208460,1801071125,2521271155,13189047355,15826454140,18991770636,22790200333,27348156059,50678300355,70949741639,99329446602,139061589763,194686385017]</v>
      </c>
      <c r="C112" s="2"/>
      <c r="D112" s="10">
        <v>4763247</v>
      </c>
      <c r="E112" s="10">
        <v>5777376</v>
      </c>
      <c r="F112" s="10">
        <v>6462698</v>
      </c>
      <c r="G112" s="10">
        <v>8056647</v>
      </c>
      <c r="H112" s="10">
        <v>9396065</v>
      </c>
      <c r="I112" s="10">
        <v>9257409</v>
      </c>
      <c r="J112" s="10">
        <v>11064564</v>
      </c>
      <c r="K112" s="10">
        <v>13175674</v>
      </c>
      <c r="L112" s="10">
        <v>15947988</v>
      </c>
      <c r="M112" s="10">
        <v>18997180</v>
      </c>
      <c r="N112" s="10">
        <v>30570206</v>
      </c>
      <c r="O112" s="10">
        <v>36678693</v>
      </c>
      <c r="P112" s="10">
        <v>44070173</v>
      </c>
      <c r="Q112" s="10">
        <v>52800611</v>
      </c>
      <c r="R112" s="10">
        <v>63656887</v>
      </c>
      <c r="S112" s="10">
        <v>306372094</v>
      </c>
      <c r="T112" s="10">
        <v>367338972</v>
      </c>
      <c r="U112" s="10">
        <v>441230938</v>
      </c>
      <c r="V112" s="10">
        <v>529690739</v>
      </c>
      <c r="W112" s="10">
        <v>635417835</v>
      </c>
      <c r="X112" s="10">
        <v>656265398</v>
      </c>
      <c r="Y112" s="10">
        <v>918824211</v>
      </c>
      <c r="Z112" s="10">
        <v>1286208460</v>
      </c>
      <c r="AA112" s="10">
        <v>1801071125</v>
      </c>
      <c r="AB112" s="10">
        <v>2521271155</v>
      </c>
      <c r="AC112" s="10">
        <v>13189047355</v>
      </c>
      <c r="AD112" s="10">
        <v>15826454140</v>
      </c>
      <c r="AE112" s="10">
        <v>18991770636</v>
      </c>
      <c r="AF112" s="10">
        <v>22790200333</v>
      </c>
      <c r="AG112" s="10">
        <v>27348156059</v>
      </c>
      <c r="AH112" s="10">
        <v>50678300355</v>
      </c>
      <c r="AI112" s="10">
        <v>70949741639</v>
      </c>
      <c r="AJ112" s="10">
        <v>99329446602</v>
      </c>
      <c r="AK112" s="10">
        <v>139061589763</v>
      </c>
      <c r="AL112" s="10">
        <v>194686385017</v>
      </c>
    </row>
    <row r="113" spans="1:38" ht="16.5" customHeight="1">
      <c r="A113" s="2">
        <v>112</v>
      </c>
      <c r="B113" s="23" t="str">
        <f t="shared" si="3"/>
        <v>[5001409,6066245,6785833,8459479,9865868,9720279,11617792,13834458,16745387,19947039,32098716,38512628,46273682,55440642,66839731,321690699,385705921,463292485,556175276,667188727,689078668,964765422,1350518883,1891124681,2647334713,13848499723,16617776847,19941359168,23929710350,28715563862,53212215373,74497228721,104295918932,146014669251,204420704268]</v>
      </c>
      <c r="C113" s="2"/>
      <c r="D113" s="10">
        <v>5001409</v>
      </c>
      <c r="E113" s="10">
        <v>6066245</v>
      </c>
      <c r="F113" s="10">
        <v>6785833</v>
      </c>
      <c r="G113" s="10">
        <v>8459479</v>
      </c>
      <c r="H113" s="10">
        <v>9865868</v>
      </c>
      <c r="I113" s="10">
        <v>9720279</v>
      </c>
      <c r="J113" s="10">
        <v>11617792</v>
      </c>
      <c r="K113" s="10">
        <v>13834458</v>
      </c>
      <c r="L113" s="10">
        <v>16745387</v>
      </c>
      <c r="M113" s="10">
        <v>19947039</v>
      </c>
      <c r="N113" s="10">
        <v>32098716</v>
      </c>
      <c r="O113" s="10">
        <v>38512628</v>
      </c>
      <c r="P113" s="10">
        <v>46273682</v>
      </c>
      <c r="Q113" s="10">
        <v>55440642</v>
      </c>
      <c r="R113" s="10">
        <v>66839731</v>
      </c>
      <c r="S113" s="10">
        <v>321690699</v>
      </c>
      <c r="T113" s="10">
        <v>385705921</v>
      </c>
      <c r="U113" s="10">
        <v>463292485</v>
      </c>
      <c r="V113" s="10">
        <v>556175276</v>
      </c>
      <c r="W113" s="10">
        <v>667188727</v>
      </c>
      <c r="X113" s="10">
        <v>689078668</v>
      </c>
      <c r="Y113" s="10">
        <v>964765422</v>
      </c>
      <c r="Z113" s="10">
        <v>1350518883</v>
      </c>
      <c r="AA113" s="10">
        <v>1891124681</v>
      </c>
      <c r="AB113" s="10">
        <v>2647334713</v>
      </c>
      <c r="AC113" s="10">
        <v>13848499723</v>
      </c>
      <c r="AD113" s="10">
        <v>16617776847</v>
      </c>
      <c r="AE113" s="10">
        <v>19941359168</v>
      </c>
      <c r="AF113" s="10">
        <v>23929710350</v>
      </c>
      <c r="AG113" s="10">
        <v>28715563862</v>
      </c>
      <c r="AH113" s="10">
        <v>53212215373</v>
      </c>
      <c r="AI113" s="10">
        <v>74497228721</v>
      </c>
      <c r="AJ113" s="10">
        <v>104295918932</v>
      </c>
      <c r="AK113" s="10">
        <v>146014669251</v>
      </c>
      <c r="AL113" s="10">
        <v>204420704268</v>
      </c>
    </row>
    <row r="114" spans="1:38" ht="16.5" customHeight="1">
      <c r="A114" s="2">
        <v>113</v>
      </c>
      <c r="B114" s="23" t="str">
        <f t="shared" si="3"/>
        <v>[5251479,6369557,7125125,8882453,10359161,10206293,12198682,14526181,17582656,20944391,33703652,40438259,48587366,58212674,70181718,337775234,404991217,486457109,583984040,700548163,723532601,1013003693,1418044827,1985680915,2779701449,14540924709,17448665689,20938427126,25126195868,30151342055,55872826142,78222090157,109510714879,153315402714,214641739481]</v>
      </c>
      <c r="C114" s="2"/>
      <c r="D114" s="10">
        <v>5251479</v>
      </c>
      <c r="E114" s="10">
        <v>6369557</v>
      </c>
      <c r="F114" s="10">
        <v>7125125</v>
      </c>
      <c r="G114" s="10">
        <v>8882453</v>
      </c>
      <c r="H114" s="10">
        <v>10359161</v>
      </c>
      <c r="I114" s="10">
        <v>10206293</v>
      </c>
      <c r="J114" s="10">
        <v>12198682</v>
      </c>
      <c r="K114" s="10">
        <v>14526181</v>
      </c>
      <c r="L114" s="10">
        <v>17582656</v>
      </c>
      <c r="M114" s="10">
        <v>20944391</v>
      </c>
      <c r="N114" s="10">
        <v>33703652</v>
      </c>
      <c r="O114" s="10">
        <v>40438259</v>
      </c>
      <c r="P114" s="10">
        <v>48587366</v>
      </c>
      <c r="Q114" s="10">
        <v>58212674</v>
      </c>
      <c r="R114" s="10">
        <v>70181718</v>
      </c>
      <c r="S114" s="10">
        <v>337775234</v>
      </c>
      <c r="T114" s="10">
        <v>404991217</v>
      </c>
      <c r="U114" s="10">
        <v>486457109</v>
      </c>
      <c r="V114" s="10">
        <v>583984040</v>
      </c>
      <c r="W114" s="10">
        <v>700548163</v>
      </c>
      <c r="X114" s="10">
        <v>723532601</v>
      </c>
      <c r="Y114" s="10">
        <v>1013003693</v>
      </c>
      <c r="Z114" s="10">
        <v>1418044827</v>
      </c>
      <c r="AA114" s="10">
        <v>1985680915</v>
      </c>
      <c r="AB114" s="10">
        <v>2779701449</v>
      </c>
      <c r="AC114" s="10">
        <v>14540924709</v>
      </c>
      <c r="AD114" s="10">
        <v>17448665689</v>
      </c>
      <c r="AE114" s="10">
        <v>20938427126</v>
      </c>
      <c r="AF114" s="10">
        <v>25126195868</v>
      </c>
      <c r="AG114" s="10">
        <v>30151342055</v>
      </c>
      <c r="AH114" s="10">
        <v>55872826142</v>
      </c>
      <c r="AI114" s="10">
        <v>78222090157</v>
      </c>
      <c r="AJ114" s="10">
        <v>109510714879</v>
      </c>
      <c r="AK114" s="10">
        <v>153315402714</v>
      </c>
      <c r="AL114" s="10">
        <v>214641739481</v>
      </c>
    </row>
    <row r="115" spans="1:38" ht="16.5" customHeight="1">
      <c r="A115" s="2">
        <v>114</v>
      </c>
      <c r="B115" s="23" t="str">
        <f t="shared" si="3"/>
        <v>[5514053,6688035,7481381,9326576,10877119,10716608,12808616,15252490,18461789,21991611,35388835,42460172,51016734,61123308,73690804,354663996,425240778,510779964,613183242,735575571,759709231,1063653878,1488947068,2084964961,2918686521,15267970944,18321098973,21985348482,26382505661,31658909158,58666467449,82133194665,114986250623,160981172850,225373826455]</v>
      </c>
      <c r="C115" s="2"/>
      <c r="D115" s="10">
        <v>5514053</v>
      </c>
      <c r="E115" s="10">
        <v>6688035</v>
      </c>
      <c r="F115" s="10">
        <v>7481381</v>
      </c>
      <c r="G115" s="10">
        <v>9326576</v>
      </c>
      <c r="H115" s="10">
        <v>10877119</v>
      </c>
      <c r="I115" s="10">
        <v>10716608</v>
      </c>
      <c r="J115" s="10">
        <v>12808616</v>
      </c>
      <c r="K115" s="10">
        <v>15252490</v>
      </c>
      <c r="L115" s="10">
        <v>18461789</v>
      </c>
      <c r="M115" s="10">
        <v>21991611</v>
      </c>
      <c r="N115" s="10">
        <v>35388835</v>
      </c>
      <c r="O115" s="10">
        <v>42460172</v>
      </c>
      <c r="P115" s="10">
        <v>51016734</v>
      </c>
      <c r="Q115" s="10">
        <v>61123308</v>
      </c>
      <c r="R115" s="10">
        <v>73690804</v>
      </c>
      <c r="S115" s="10">
        <v>354663996</v>
      </c>
      <c r="T115" s="10">
        <v>425240778</v>
      </c>
      <c r="U115" s="10">
        <v>510779964</v>
      </c>
      <c r="V115" s="10">
        <v>613183242</v>
      </c>
      <c r="W115" s="10">
        <v>735575571</v>
      </c>
      <c r="X115" s="10">
        <v>759709231</v>
      </c>
      <c r="Y115" s="10">
        <v>1063653878</v>
      </c>
      <c r="Z115" s="10">
        <v>1488947068</v>
      </c>
      <c r="AA115" s="10">
        <v>2084964961</v>
      </c>
      <c r="AB115" s="10">
        <v>2918686521</v>
      </c>
      <c r="AC115" s="10">
        <v>15267970944</v>
      </c>
      <c r="AD115" s="10">
        <v>18321098973</v>
      </c>
      <c r="AE115" s="10">
        <v>21985348482</v>
      </c>
      <c r="AF115" s="10">
        <v>26382505661</v>
      </c>
      <c r="AG115" s="10">
        <v>31658909158</v>
      </c>
      <c r="AH115" s="10">
        <v>58666467449</v>
      </c>
      <c r="AI115" s="10">
        <v>82133194665</v>
      </c>
      <c r="AJ115" s="10">
        <v>114986250623</v>
      </c>
      <c r="AK115" s="10">
        <v>160981172850</v>
      </c>
      <c r="AL115" s="10">
        <v>225373826455</v>
      </c>
    </row>
    <row r="116" spans="1:38" ht="16.5" customHeight="1">
      <c r="A116" s="2">
        <v>115</v>
      </c>
      <c r="B116" s="23" t="str">
        <f t="shared" si="3"/>
        <v>[5789756,7022437,7855450,9792905,11420975,11252438,13449047,16015115,19384878,23091192,37158277,44583181,53567571,64179473,77375344,372397196,446502817,536318962,643842404,772354350,797694693,1116836572,1563394421,2189213209,3064620847,16031369491,19237153922,23084615906,27701630944,33241854616,61599790821,86239854398,120735563154,169030231493,236642517778]</v>
      </c>
      <c r="C116" s="2"/>
      <c r="D116" s="10">
        <v>5789756</v>
      </c>
      <c r="E116" s="10">
        <v>7022437</v>
      </c>
      <c r="F116" s="10">
        <v>7855450</v>
      </c>
      <c r="G116" s="10">
        <v>9792905</v>
      </c>
      <c r="H116" s="10">
        <v>11420975</v>
      </c>
      <c r="I116" s="10">
        <v>11252438</v>
      </c>
      <c r="J116" s="10">
        <v>13449047</v>
      </c>
      <c r="K116" s="10">
        <v>16015115</v>
      </c>
      <c r="L116" s="10">
        <v>19384878</v>
      </c>
      <c r="M116" s="10">
        <v>23091192</v>
      </c>
      <c r="N116" s="10">
        <v>37158277</v>
      </c>
      <c r="O116" s="10">
        <v>44583181</v>
      </c>
      <c r="P116" s="10">
        <v>53567571</v>
      </c>
      <c r="Q116" s="10">
        <v>64179473</v>
      </c>
      <c r="R116" s="10">
        <v>77375344</v>
      </c>
      <c r="S116" s="10">
        <v>372397196</v>
      </c>
      <c r="T116" s="10">
        <v>446502817</v>
      </c>
      <c r="U116" s="10">
        <v>536318962</v>
      </c>
      <c r="V116" s="10">
        <v>643842404</v>
      </c>
      <c r="W116" s="10">
        <v>772354350</v>
      </c>
      <c r="X116" s="10">
        <v>797694693</v>
      </c>
      <c r="Y116" s="10">
        <v>1116836572</v>
      </c>
      <c r="Z116" s="10">
        <v>1563394421</v>
      </c>
      <c r="AA116" s="10">
        <v>2189213209</v>
      </c>
      <c r="AB116" s="10">
        <v>3064620847</v>
      </c>
      <c r="AC116" s="10">
        <v>16031369491</v>
      </c>
      <c r="AD116" s="10">
        <v>19237153922</v>
      </c>
      <c r="AE116" s="10">
        <v>23084615906</v>
      </c>
      <c r="AF116" s="10">
        <v>27701630944</v>
      </c>
      <c r="AG116" s="10">
        <v>33241854616</v>
      </c>
      <c r="AH116" s="10">
        <v>61599790821</v>
      </c>
      <c r="AI116" s="10">
        <v>86239854398</v>
      </c>
      <c r="AJ116" s="10">
        <v>120735563154</v>
      </c>
      <c r="AK116" s="10">
        <v>169030231493</v>
      </c>
      <c r="AL116" s="10">
        <v>236642517778</v>
      </c>
    </row>
    <row r="117" spans="1:38" ht="16.5" customHeight="1">
      <c r="A117" s="2">
        <v>116</v>
      </c>
      <c r="B117" s="23" t="str">
        <f t="shared" si="3"/>
        <v>[6079244,7373559,8248223,10282550,11992024,11815060,14121499,16815871,20354122,24245752,39016191,46812340,56245950,67388447,81244111,391017056,468827958,563134910,676034524,810972068,837579428,1172678401,1641564142,2298673869,3217851889,16832937966,20199011618,24238846701,29086712491,34903947347,64679780362,90551847118,126772341312,177481743068,248474643667]</v>
      </c>
      <c r="C117" s="2"/>
      <c r="D117" s="10">
        <v>6079244</v>
      </c>
      <c r="E117" s="10">
        <v>7373559</v>
      </c>
      <c r="F117" s="10">
        <v>8248223</v>
      </c>
      <c r="G117" s="10">
        <v>10282550</v>
      </c>
      <c r="H117" s="10">
        <v>11992024</v>
      </c>
      <c r="I117" s="10">
        <v>11815060</v>
      </c>
      <c r="J117" s="10">
        <v>14121499</v>
      </c>
      <c r="K117" s="10">
        <v>16815871</v>
      </c>
      <c r="L117" s="10">
        <v>20354122</v>
      </c>
      <c r="M117" s="10">
        <v>24245752</v>
      </c>
      <c r="N117" s="10">
        <v>39016191</v>
      </c>
      <c r="O117" s="10">
        <v>46812340</v>
      </c>
      <c r="P117" s="10">
        <v>56245950</v>
      </c>
      <c r="Q117" s="10">
        <v>67388447</v>
      </c>
      <c r="R117" s="10">
        <v>81244111</v>
      </c>
      <c r="S117" s="10">
        <v>391017056</v>
      </c>
      <c r="T117" s="10">
        <v>468827958</v>
      </c>
      <c r="U117" s="10">
        <v>563134910</v>
      </c>
      <c r="V117" s="10">
        <v>676034524</v>
      </c>
      <c r="W117" s="10">
        <v>810972068</v>
      </c>
      <c r="X117" s="10">
        <v>837579428</v>
      </c>
      <c r="Y117" s="10">
        <v>1172678401</v>
      </c>
      <c r="Z117" s="10">
        <v>1641564142</v>
      </c>
      <c r="AA117" s="10">
        <v>2298673869</v>
      </c>
      <c r="AB117" s="10">
        <v>3217851889</v>
      </c>
      <c r="AC117" s="10">
        <v>16832937966</v>
      </c>
      <c r="AD117" s="10">
        <v>20199011618</v>
      </c>
      <c r="AE117" s="10">
        <v>24238846701</v>
      </c>
      <c r="AF117" s="10">
        <v>29086712491</v>
      </c>
      <c r="AG117" s="10">
        <v>34903947347</v>
      </c>
      <c r="AH117" s="10">
        <v>64679780362</v>
      </c>
      <c r="AI117" s="10">
        <v>90551847118</v>
      </c>
      <c r="AJ117" s="10">
        <v>126772341312</v>
      </c>
      <c r="AK117" s="10">
        <v>177481743068</v>
      </c>
      <c r="AL117" s="10">
        <v>248474643667</v>
      </c>
    </row>
    <row r="118" spans="1:38" ht="16.5" customHeight="1">
      <c r="A118" s="2">
        <v>117</v>
      </c>
      <c r="B118" s="23" t="str">
        <f t="shared" si="3"/>
        <v>[6383206,7742237,8660634,10796678,12591625,12405813,14827574,17656665,21371828,25458040,40967001,49152957,59058248,70757869,85306317,410567909,492269356,591291656,709836250,851520671,879458399,1231312321,1723642349,2413607562,3378744483,17674584864,21208962199,25450789036,30541048116,36649144714,67913769380,95079439474,133110958378,186355830221,260898375850]</v>
      </c>
      <c r="C118" s="2"/>
      <c r="D118" s="10">
        <v>6383206</v>
      </c>
      <c r="E118" s="10">
        <v>7742237</v>
      </c>
      <c r="F118" s="10">
        <v>8660634</v>
      </c>
      <c r="G118" s="10">
        <v>10796678</v>
      </c>
      <c r="H118" s="10">
        <v>12591625</v>
      </c>
      <c r="I118" s="10">
        <v>12405813</v>
      </c>
      <c r="J118" s="10">
        <v>14827574</v>
      </c>
      <c r="K118" s="10">
        <v>17656665</v>
      </c>
      <c r="L118" s="10">
        <v>21371828</v>
      </c>
      <c r="M118" s="10">
        <v>25458040</v>
      </c>
      <c r="N118" s="10">
        <v>40967001</v>
      </c>
      <c r="O118" s="10">
        <v>49152957</v>
      </c>
      <c r="P118" s="10">
        <v>59058248</v>
      </c>
      <c r="Q118" s="10">
        <v>70757869</v>
      </c>
      <c r="R118" s="10">
        <v>85306317</v>
      </c>
      <c r="S118" s="10">
        <v>410567909</v>
      </c>
      <c r="T118" s="10">
        <v>492269356</v>
      </c>
      <c r="U118" s="10">
        <v>591291656</v>
      </c>
      <c r="V118" s="10">
        <v>709836250</v>
      </c>
      <c r="W118" s="10">
        <v>851520671</v>
      </c>
      <c r="X118" s="10">
        <v>879458399</v>
      </c>
      <c r="Y118" s="10">
        <v>1231312321</v>
      </c>
      <c r="Z118" s="10">
        <v>1723642349</v>
      </c>
      <c r="AA118" s="10">
        <v>2413607562</v>
      </c>
      <c r="AB118" s="10">
        <v>3378744483</v>
      </c>
      <c r="AC118" s="10">
        <v>17674584864</v>
      </c>
      <c r="AD118" s="10">
        <v>21208962199</v>
      </c>
      <c r="AE118" s="10">
        <v>25450789036</v>
      </c>
      <c r="AF118" s="10">
        <v>30541048116</v>
      </c>
      <c r="AG118" s="10">
        <v>36649144714</v>
      </c>
      <c r="AH118" s="10">
        <v>67913769380</v>
      </c>
      <c r="AI118" s="10">
        <v>95079439474</v>
      </c>
      <c r="AJ118" s="10">
        <v>133110958378</v>
      </c>
      <c r="AK118" s="10">
        <v>186355830221</v>
      </c>
      <c r="AL118" s="10">
        <v>260898375850</v>
      </c>
    </row>
    <row r="119" spans="1:38" ht="16.5" customHeight="1">
      <c r="A119" s="2">
        <v>118</v>
      </c>
      <c r="B119" s="23" t="str">
        <f t="shared" si="3"/>
        <v>[6702366,8129349,9093666,11336512,13221206,13026104,15568953,18539498,22440419,26730942,43015351,51610605,62011160,74295762,89571633,431096304,516882824,620856239,745328063,894096705,923431319,1292877937,1809824466,2534287940,3547681707,18558314107,22269410309,26723328488,32068100522,38481601950,71309457849,99833411448,139766506297,195673621732,273943294643]</v>
      </c>
      <c r="C119" s="2"/>
      <c r="D119" s="10">
        <v>6702366</v>
      </c>
      <c r="E119" s="10">
        <v>8129349</v>
      </c>
      <c r="F119" s="10">
        <v>9093666</v>
      </c>
      <c r="G119" s="10">
        <v>11336512</v>
      </c>
      <c r="H119" s="10">
        <v>13221206</v>
      </c>
      <c r="I119" s="10">
        <v>13026104</v>
      </c>
      <c r="J119" s="10">
        <v>15568953</v>
      </c>
      <c r="K119" s="10">
        <v>18539498</v>
      </c>
      <c r="L119" s="10">
        <v>22440419</v>
      </c>
      <c r="M119" s="10">
        <v>26730942</v>
      </c>
      <c r="N119" s="10">
        <v>43015351</v>
      </c>
      <c r="O119" s="10">
        <v>51610605</v>
      </c>
      <c r="P119" s="10">
        <v>62011160</v>
      </c>
      <c r="Q119" s="10">
        <v>74295762</v>
      </c>
      <c r="R119" s="10">
        <v>89571633</v>
      </c>
      <c r="S119" s="10">
        <v>431096304</v>
      </c>
      <c r="T119" s="10">
        <v>516882824</v>
      </c>
      <c r="U119" s="10">
        <v>620856239</v>
      </c>
      <c r="V119" s="10">
        <v>745328063</v>
      </c>
      <c r="W119" s="10">
        <v>894096705</v>
      </c>
      <c r="X119" s="10">
        <v>923431319</v>
      </c>
      <c r="Y119" s="10">
        <v>1292877937</v>
      </c>
      <c r="Z119" s="10">
        <v>1809824466</v>
      </c>
      <c r="AA119" s="10">
        <v>2534287940</v>
      </c>
      <c r="AB119" s="10">
        <v>3547681707</v>
      </c>
      <c r="AC119" s="10">
        <v>18558314107</v>
      </c>
      <c r="AD119" s="10">
        <v>22269410309</v>
      </c>
      <c r="AE119" s="10">
        <v>26723328488</v>
      </c>
      <c r="AF119" s="10">
        <v>32068100522</v>
      </c>
      <c r="AG119" s="10">
        <v>38481601950</v>
      </c>
      <c r="AH119" s="10">
        <v>71309457849</v>
      </c>
      <c r="AI119" s="10">
        <v>99833411448</v>
      </c>
      <c r="AJ119" s="10">
        <v>139766506297</v>
      </c>
      <c r="AK119" s="10">
        <v>195673621732</v>
      </c>
      <c r="AL119" s="10">
        <v>273943294643</v>
      </c>
    </row>
    <row r="120" spans="1:38" ht="16.5" customHeight="1">
      <c r="A120" s="2">
        <v>119</v>
      </c>
      <c r="B120" s="23" t="str">
        <f t="shared" si="3"/>
        <v>[7037484,8535816,9548349,11903338,13882266,13677409,16347401,19466473,23562440,28067489,45166119,54191135,65111718,78010550,94050215,452651119,542726965,651899051,782594466,938801540,969602885,1357521834,1900315689,2661002337,3725065792,19486229812,23382880824,28059494912,33671505548,40405682048,74874930741,104825082020,146754831612,205457302819,287640459375]</v>
      </c>
      <c r="C120" s="2"/>
      <c r="D120" s="10">
        <v>7037484</v>
      </c>
      <c r="E120" s="10">
        <v>8535816</v>
      </c>
      <c r="F120" s="10">
        <v>9548349</v>
      </c>
      <c r="G120" s="10">
        <v>11903338</v>
      </c>
      <c r="H120" s="10">
        <v>13882266</v>
      </c>
      <c r="I120" s="10">
        <v>13677409</v>
      </c>
      <c r="J120" s="10">
        <v>16347401</v>
      </c>
      <c r="K120" s="10">
        <v>19466473</v>
      </c>
      <c r="L120" s="10">
        <v>23562440</v>
      </c>
      <c r="M120" s="10">
        <v>28067489</v>
      </c>
      <c r="N120" s="10">
        <v>45166119</v>
      </c>
      <c r="O120" s="10">
        <v>54191135</v>
      </c>
      <c r="P120" s="10">
        <v>65111718</v>
      </c>
      <c r="Q120" s="10">
        <v>78010550</v>
      </c>
      <c r="R120" s="10">
        <v>94050215</v>
      </c>
      <c r="S120" s="10">
        <v>452651119</v>
      </c>
      <c r="T120" s="10">
        <v>542726965</v>
      </c>
      <c r="U120" s="10">
        <v>651899051</v>
      </c>
      <c r="V120" s="10">
        <v>782594466</v>
      </c>
      <c r="W120" s="10">
        <v>938801540</v>
      </c>
      <c r="X120" s="10">
        <v>969602885</v>
      </c>
      <c r="Y120" s="10">
        <v>1357521834</v>
      </c>
      <c r="Z120" s="10">
        <v>1900315689</v>
      </c>
      <c r="AA120" s="10">
        <v>2661002337</v>
      </c>
      <c r="AB120" s="10">
        <v>3725065792</v>
      </c>
      <c r="AC120" s="10">
        <v>19486229812</v>
      </c>
      <c r="AD120" s="10">
        <v>23382880824</v>
      </c>
      <c r="AE120" s="10">
        <v>28059494912</v>
      </c>
      <c r="AF120" s="10">
        <v>33671505548</v>
      </c>
      <c r="AG120" s="10">
        <v>40405682048</v>
      </c>
      <c r="AH120" s="10">
        <v>74874930741</v>
      </c>
      <c r="AI120" s="10">
        <v>104825082020</v>
      </c>
      <c r="AJ120" s="10">
        <v>146754831612</v>
      </c>
      <c r="AK120" s="10">
        <v>205457302819</v>
      </c>
      <c r="AL120" s="10">
        <v>287640459375</v>
      </c>
    </row>
    <row r="121" spans="1:38" ht="16.5" customHeight="1">
      <c r="A121" s="2">
        <v>120</v>
      </c>
      <c r="B121" s="23" t="str">
        <f t="shared" si="3"/>
        <v>[7389358,8962607,10025766,12498505,14576379,14361279,17164771,20439797,24740562,29470863,47424425,56900692,68367304,81911078,98752726,475283675,569863313,684494004,821724189,985741617,1018083029,1425397926,1995331473,2794052454,3911319082,20460541303,24552024865,29462469658,35355080825,42425966150,78618677278,110066336121,154092573193,215730167960,302022482344]</v>
      </c>
      <c r="C121" s="2"/>
      <c r="D121" s="10">
        <v>7389358</v>
      </c>
      <c r="E121" s="10">
        <v>8962607</v>
      </c>
      <c r="F121" s="10">
        <v>10025766</v>
      </c>
      <c r="G121" s="10">
        <v>12498505</v>
      </c>
      <c r="H121" s="10">
        <v>14576379</v>
      </c>
      <c r="I121" s="10">
        <v>14361279</v>
      </c>
      <c r="J121" s="10">
        <v>17164771</v>
      </c>
      <c r="K121" s="10">
        <v>20439797</v>
      </c>
      <c r="L121" s="10">
        <v>24740562</v>
      </c>
      <c r="M121" s="10">
        <v>29470863</v>
      </c>
      <c r="N121" s="10">
        <v>47424425</v>
      </c>
      <c r="O121" s="10">
        <v>56900692</v>
      </c>
      <c r="P121" s="10">
        <v>68367304</v>
      </c>
      <c r="Q121" s="10">
        <v>81911078</v>
      </c>
      <c r="R121" s="10">
        <v>98752726</v>
      </c>
      <c r="S121" s="10">
        <v>475283675</v>
      </c>
      <c r="T121" s="10">
        <v>569863313</v>
      </c>
      <c r="U121" s="10">
        <v>684494004</v>
      </c>
      <c r="V121" s="10">
        <v>821724189</v>
      </c>
      <c r="W121" s="10">
        <v>985741617</v>
      </c>
      <c r="X121" s="10">
        <v>1018083029</v>
      </c>
      <c r="Y121" s="10">
        <v>1425397926</v>
      </c>
      <c r="Z121" s="10">
        <v>1995331473</v>
      </c>
      <c r="AA121" s="10">
        <v>2794052454</v>
      </c>
      <c r="AB121" s="10">
        <v>3911319082</v>
      </c>
      <c r="AC121" s="10">
        <v>20460541303</v>
      </c>
      <c r="AD121" s="10">
        <v>24552024865</v>
      </c>
      <c r="AE121" s="10">
        <v>29462469658</v>
      </c>
      <c r="AF121" s="10">
        <v>35355080825</v>
      </c>
      <c r="AG121" s="10">
        <v>42425966150</v>
      </c>
      <c r="AH121" s="10">
        <v>78618677278</v>
      </c>
      <c r="AI121" s="10">
        <v>110066336121</v>
      </c>
      <c r="AJ121" s="10">
        <v>154092573193</v>
      </c>
      <c r="AK121" s="10">
        <v>215730167960</v>
      </c>
      <c r="AL121" s="10">
        <v>302022482344</v>
      </c>
    </row>
    <row r="122" spans="1:38" ht="16.5" customHeight="1">
      <c r="A122" s="2">
        <v>121</v>
      </c>
      <c r="B122" s="23" t="str">
        <f t="shared" si="3"/>
        <v>[7758826,9410737,10527054,13123430,15305198,15079343,18023010,21461787,25977590,30944406,49795646,59745727,71785669,86006632,103690362,499047859,598356479,718718704,862810398,1035028698,1068987180,1496667822,2095098047,2933755077,4106885036,21483568368,25779626108,30935593141,37122834866,44547264458,82549611142,115569652927,161797201853,226516676358,317123606461]</v>
      </c>
      <c r="C122" s="2"/>
      <c r="D122" s="10">
        <v>7758826</v>
      </c>
      <c r="E122" s="10">
        <v>9410737</v>
      </c>
      <c r="F122" s="10">
        <v>10527054</v>
      </c>
      <c r="G122" s="10">
        <v>13123430</v>
      </c>
      <c r="H122" s="10">
        <v>15305198</v>
      </c>
      <c r="I122" s="10">
        <v>15079343</v>
      </c>
      <c r="J122" s="10">
        <v>18023010</v>
      </c>
      <c r="K122" s="10">
        <v>21461787</v>
      </c>
      <c r="L122" s="10">
        <v>25977590</v>
      </c>
      <c r="M122" s="10">
        <v>30944406</v>
      </c>
      <c r="N122" s="10">
        <v>49795646</v>
      </c>
      <c r="O122" s="10">
        <v>59745727</v>
      </c>
      <c r="P122" s="10">
        <v>71785669</v>
      </c>
      <c r="Q122" s="10">
        <v>86006632</v>
      </c>
      <c r="R122" s="10">
        <v>103690362</v>
      </c>
      <c r="S122" s="10">
        <v>499047859</v>
      </c>
      <c r="T122" s="10">
        <v>598356479</v>
      </c>
      <c r="U122" s="10">
        <v>718718704</v>
      </c>
      <c r="V122" s="10">
        <v>862810398</v>
      </c>
      <c r="W122" s="10">
        <v>1035028698</v>
      </c>
      <c r="X122" s="10">
        <v>1068987180</v>
      </c>
      <c r="Y122" s="10">
        <v>1496667822</v>
      </c>
      <c r="Z122" s="10">
        <v>2095098047</v>
      </c>
      <c r="AA122" s="10">
        <v>2933755077</v>
      </c>
      <c r="AB122" s="10">
        <v>4106885036</v>
      </c>
      <c r="AC122" s="10">
        <v>21483568368</v>
      </c>
      <c r="AD122" s="10">
        <v>25779626108</v>
      </c>
      <c r="AE122" s="10">
        <v>30935593141</v>
      </c>
      <c r="AF122" s="10">
        <v>37122834866</v>
      </c>
      <c r="AG122" s="10">
        <v>44547264458</v>
      </c>
      <c r="AH122" s="10">
        <v>82549611142</v>
      </c>
      <c r="AI122" s="10">
        <v>115569652927</v>
      </c>
      <c r="AJ122" s="10">
        <v>161797201853</v>
      </c>
      <c r="AK122" s="10">
        <v>226516676358</v>
      </c>
      <c r="AL122" s="10">
        <v>317123606461</v>
      </c>
    </row>
    <row r="123" spans="1:38" ht="16.5" customHeight="1">
      <c r="A123" s="2">
        <v>122</v>
      </c>
      <c r="B123" s="23" t="str">
        <f t="shared" si="3"/>
        <v>[8146767,9881274,11053407,13779602,16070458,15833310,18924161,22534876,27276470,32491626,52285428,62733013,75374952,90306964,108874880,524000252,628274303,754654639,905950918,1086780133,1122436539,1571501213,2199852949,3080442831,4312229288,22557746786,27068607413,32482372798,38978976609,46774627681,86677091699,121348135573,169887061946,237842510176,332979786784]</v>
      </c>
      <c r="C123" s="2"/>
      <c r="D123" s="10">
        <v>8146767</v>
      </c>
      <c r="E123" s="10">
        <v>9881274</v>
      </c>
      <c r="F123" s="10">
        <v>11053407</v>
      </c>
      <c r="G123" s="10">
        <v>13779602</v>
      </c>
      <c r="H123" s="10">
        <v>16070458</v>
      </c>
      <c r="I123" s="10">
        <v>15833310</v>
      </c>
      <c r="J123" s="10">
        <v>18924161</v>
      </c>
      <c r="K123" s="10">
        <v>22534876</v>
      </c>
      <c r="L123" s="10">
        <v>27276470</v>
      </c>
      <c r="M123" s="10">
        <v>32491626</v>
      </c>
      <c r="N123" s="10">
        <v>52285428</v>
      </c>
      <c r="O123" s="10">
        <v>62733013</v>
      </c>
      <c r="P123" s="10">
        <v>75374952</v>
      </c>
      <c r="Q123" s="10">
        <v>90306964</v>
      </c>
      <c r="R123" s="10">
        <v>108874880</v>
      </c>
      <c r="S123" s="10">
        <v>524000252</v>
      </c>
      <c r="T123" s="10">
        <v>628274303</v>
      </c>
      <c r="U123" s="10">
        <v>754654639</v>
      </c>
      <c r="V123" s="10">
        <v>905950918</v>
      </c>
      <c r="W123" s="10">
        <v>1086780133</v>
      </c>
      <c r="X123" s="10">
        <v>1122436539</v>
      </c>
      <c r="Y123" s="10">
        <v>1571501213</v>
      </c>
      <c r="Z123" s="10">
        <v>2199852949</v>
      </c>
      <c r="AA123" s="10">
        <v>3080442831</v>
      </c>
      <c r="AB123" s="10">
        <v>4312229288</v>
      </c>
      <c r="AC123" s="10">
        <v>22557746786</v>
      </c>
      <c r="AD123" s="10">
        <v>27068607413</v>
      </c>
      <c r="AE123" s="10">
        <v>32482372798</v>
      </c>
      <c r="AF123" s="10">
        <v>38978976609</v>
      </c>
      <c r="AG123" s="10">
        <v>46774627681</v>
      </c>
      <c r="AH123" s="10">
        <v>86677091699</v>
      </c>
      <c r="AI123" s="10">
        <v>121348135573</v>
      </c>
      <c r="AJ123" s="10">
        <v>169887061946</v>
      </c>
      <c r="AK123" s="10">
        <v>237842510176</v>
      </c>
      <c r="AL123" s="10">
        <v>332979786784</v>
      </c>
    </row>
    <row r="124" spans="1:38" ht="16.5" customHeight="1">
      <c r="A124" s="2">
        <v>123</v>
      </c>
      <c r="B124" s="23" t="str">
        <f t="shared" si="3"/>
        <v>[8554105,10375338,11606077,14468582,16873981,16624976,19870369,23661620,28640294,34116207,54899699,65869664,79143700,94822312,114318624,550200265,659688018,792387371,951248464,1141119140,1178558366,1650076274,2309845596,3234464973,4527840752,23685634125,28422037784,34106491438,40927925439,49113359065,91010946284,127415542352,178381415043,249734635685,349628776123]</v>
      </c>
      <c r="C124" s="2"/>
      <c r="D124" s="10">
        <v>8554105</v>
      </c>
      <c r="E124" s="10">
        <v>10375338</v>
      </c>
      <c r="F124" s="10">
        <v>11606077</v>
      </c>
      <c r="G124" s="10">
        <v>14468582</v>
      </c>
      <c r="H124" s="10">
        <v>16873981</v>
      </c>
      <c r="I124" s="10">
        <v>16624976</v>
      </c>
      <c r="J124" s="10">
        <v>19870369</v>
      </c>
      <c r="K124" s="10">
        <v>23661620</v>
      </c>
      <c r="L124" s="10">
        <v>28640294</v>
      </c>
      <c r="M124" s="10">
        <v>34116207</v>
      </c>
      <c r="N124" s="10">
        <v>54899699</v>
      </c>
      <c r="O124" s="10">
        <v>65869664</v>
      </c>
      <c r="P124" s="10">
        <v>79143700</v>
      </c>
      <c r="Q124" s="10">
        <v>94822312</v>
      </c>
      <c r="R124" s="10">
        <v>114318624</v>
      </c>
      <c r="S124" s="10">
        <v>550200265</v>
      </c>
      <c r="T124" s="10">
        <v>659688018</v>
      </c>
      <c r="U124" s="10">
        <v>792387371</v>
      </c>
      <c r="V124" s="10">
        <v>951248464</v>
      </c>
      <c r="W124" s="10">
        <v>1141119140</v>
      </c>
      <c r="X124" s="10">
        <v>1178558366</v>
      </c>
      <c r="Y124" s="10">
        <v>1650076274</v>
      </c>
      <c r="Z124" s="10">
        <v>2309845596</v>
      </c>
      <c r="AA124" s="10">
        <v>3234464973</v>
      </c>
      <c r="AB124" s="10">
        <v>4527840752</v>
      </c>
      <c r="AC124" s="10">
        <v>23685634125</v>
      </c>
      <c r="AD124" s="10">
        <v>28422037784</v>
      </c>
      <c r="AE124" s="10">
        <v>34106491438</v>
      </c>
      <c r="AF124" s="10">
        <v>40927925439</v>
      </c>
      <c r="AG124" s="10">
        <v>49113359065</v>
      </c>
      <c r="AH124" s="10">
        <v>91010946284</v>
      </c>
      <c r="AI124" s="10">
        <v>127415542352</v>
      </c>
      <c r="AJ124" s="10">
        <v>178381415043</v>
      </c>
      <c r="AK124" s="10">
        <v>249734635685</v>
      </c>
      <c r="AL124" s="10">
        <v>349628776123</v>
      </c>
    </row>
    <row r="125" spans="1:38" ht="16.5" customHeight="1">
      <c r="A125" s="2">
        <v>124</v>
      </c>
      <c r="B125" s="23" t="str">
        <f t="shared" si="3"/>
        <v>[8981810,10894105,12186381,15192011,17717680,17456225,20863887,24844701,30072309,35822017,57644684,69163147,83100885,99563428,120034555,577710278,692672419,832006740,998810887,1198175097,1237486284,1732580088,2425337876,3396188222,4754232790,24869915831,29843139673,35811816010,42974321711,51569027018,95561493598,133786319470,187300485795,262221367469,367110214929]</v>
      </c>
      <c r="C125" s="2"/>
      <c r="D125" s="10">
        <v>8981810</v>
      </c>
      <c r="E125" s="10">
        <v>10894105</v>
      </c>
      <c r="F125" s="10">
        <v>12186381</v>
      </c>
      <c r="G125" s="10">
        <v>15192011</v>
      </c>
      <c r="H125" s="10">
        <v>17717680</v>
      </c>
      <c r="I125" s="10">
        <v>17456225</v>
      </c>
      <c r="J125" s="10">
        <v>20863887</v>
      </c>
      <c r="K125" s="10">
        <v>24844701</v>
      </c>
      <c r="L125" s="10">
        <v>30072309</v>
      </c>
      <c r="M125" s="10">
        <v>35822017</v>
      </c>
      <c r="N125" s="10">
        <v>57644684</v>
      </c>
      <c r="O125" s="10">
        <v>69163147</v>
      </c>
      <c r="P125" s="10">
        <v>83100885</v>
      </c>
      <c r="Q125" s="10">
        <v>99563428</v>
      </c>
      <c r="R125" s="10">
        <v>120034555</v>
      </c>
      <c r="S125" s="10">
        <v>577710278</v>
      </c>
      <c r="T125" s="10">
        <v>692672419</v>
      </c>
      <c r="U125" s="10">
        <v>832006740</v>
      </c>
      <c r="V125" s="10">
        <v>998810887</v>
      </c>
      <c r="W125" s="10">
        <v>1198175097</v>
      </c>
      <c r="X125" s="10">
        <v>1237486284</v>
      </c>
      <c r="Y125" s="10">
        <v>1732580088</v>
      </c>
      <c r="Z125" s="10">
        <v>2425337876</v>
      </c>
      <c r="AA125" s="10">
        <v>3396188222</v>
      </c>
      <c r="AB125" s="10">
        <v>4754232790</v>
      </c>
      <c r="AC125" s="10">
        <v>24869915831</v>
      </c>
      <c r="AD125" s="10">
        <v>29843139673</v>
      </c>
      <c r="AE125" s="10">
        <v>35811816010</v>
      </c>
      <c r="AF125" s="10">
        <v>42974321711</v>
      </c>
      <c r="AG125" s="10">
        <v>51569027018</v>
      </c>
      <c r="AH125" s="10">
        <v>95561493598</v>
      </c>
      <c r="AI125" s="10">
        <v>133786319470</v>
      </c>
      <c r="AJ125" s="10">
        <v>187300485795</v>
      </c>
      <c r="AK125" s="10">
        <v>262221367469</v>
      </c>
      <c r="AL125" s="10">
        <v>367110214929</v>
      </c>
    </row>
    <row r="126" spans="1:38" ht="16.5" customHeight="1">
      <c r="A126" s="2">
        <v>125</v>
      </c>
      <c r="B126" s="23" t="str">
        <f t="shared" si="3"/>
        <v>[9430901,11438810,12795700,15951612,18603564,18329036,21907081,26086936,31575924,37613118,60526918,72621304,87255929,104541599,126036283,606595792,727306040,873607077,1048751431,1258083852,1299360598,1819209092,2546604770,3565997633,4991944430,26113411623,31335296657,37602406811,45123037797,54147478369,100339568278,140475635444,196665510085,275332435842,385465725675]</v>
      </c>
      <c r="C126" s="2"/>
      <c r="D126" s="10">
        <v>9430901</v>
      </c>
      <c r="E126" s="10">
        <v>11438810</v>
      </c>
      <c r="F126" s="10">
        <v>12795700</v>
      </c>
      <c r="G126" s="10">
        <v>15951612</v>
      </c>
      <c r="H126" s="10">
        <v>18603564</v>
      </c>
      <c r="I126" s="10">
        <v>18329036</v>
      </c>
      <c r="J126" s="10">
        <v>21907081</v>
      </c>
      <c r="K126" s="10">
        <v>26086936</v>
      </c>
      <c r="L126" s="10">
        <v>31575924</v>
      </c>
      <c r="M126" s="10">
        <v>37613118</v>
      </c>
      <c r="N126" s="10">
        <v>60526918</v>
      </c>
      <c r="O126" s="10">
        <v>72621304</v>
      </c>
      <c r="P126" s="10">
        <v>87255929</v>
      </c>
      <c r="Q126" s="10">
        <v>104541599</v>
      </c>
      <c r="R126" s="10">
        <v>126036283</v>
      </c>
      <c r="S126" s="10">
        <v>606595792</v>
      </c>
      <c r="T126" s="10">
        <v>727306040</v>
      </c>
      <c r="U126" s="10">
        <v>873607077</v>
      </c>
      <c r="V126" s="10">
        <v>1048751431</v>
      </c>
      <c r="W126" s="10">
        <v>1258083852</v>
      </c>
      <c r="X126" s="10">
        <v>1299360598</v>
      </c>
      <c r="Y126" s="10">
        <v>1819209092</v>
      </c>
      <c r="Z126" s="10">
        <v>2546604770</v>
      </c>
      <c r="AA126" s="10">
        <v>3565997633</v>
      </c>
      <c r="AB126" s="10">
        <v>4991944430</v>
      </c>
      <c r="AC126" s="10">
        <v>26113411623</v>
      </c>
      <c r="AD126" s="10">
        <v>31335296657</v>
      </c>
      <c r="AE126" s="10">
        <v>37602406811</v>
      </c>
      <c r="AF126" s="10">
        <v>45123037797</v>
      </c>
      <c r="AG126" s="10">
        <v>54147478369</v>
      </c>
      <c r="AH126" s="10">
        <v>100339568278</v>
      </c>
      <c r="AI126" s="10">
        <v>140475635444</v>
      </c>
      <c r="AJ126" s="10">
        <v>196665510085</v>
      </c>
      <c r="AK126" s="10">
        <v>275332435842</v>
      </c>
      <c r="AL126" s="10">
        <v>385465725675</v>
      </c>
    </row>
    <row r="127" spans="1:38" ht="16.5" customHeight="1">
      <c r="A127" s="2">
        <v>126</v>
      </c>
      <c r="B127" s="23" t="str">
        <f t="shared" si="3"/>
        <v>[9902446,12010751,13435485,16749193,19533742,19245488,23002435,27391283,33154720,39493774,63553264,76252369,91618725,109768679,132338097,636925582,763671342,917287431,1101189003,1320988045,1364328628,1910169547,2673935009,3744297515,5241541652,27419082204,32902061490,39482527152,47379189687,56854852287,105356546692,147499417216,206498785589,289099057634,404739011959]</v>
      </c>
      <c r="C127" s="2"/>
      <c r="D127" s="10">
        <v>9902446</v>
      </c>
      <c r="E127" s="10">
        <v>12010751</v>
      </c>
      <c r="F127" s="10">
        <v>13435485</v>
      </c>
      <c r="G127" s="10">
        <v>16749193</v>
      </c>
      <c r="H127" s="10">
        <v>19533742</v>
      </c>
      <c r="I127" s="10">
        <v>19245488</v>
      </c>
      <c r="J127" s="10">
        <v>23002435</v>
      </c>
      <c r="K127" s="10">
        <v>27391283</v>
      </c>
      <c r="L127" s="10">
        <v>33154720</v>
      </c>
      <c r="M127" s="10">
        <v>39493774</v>
      </c>
      <c r="N127" s="10">
        <v>63553264</v>
      </c>
      <c r="O127" s="10">
        <v>76252369</v>
      </c>
      <c r="P127" s="10">
        <v>91618725</v>
      </c>
      <c r="Q127" s="10">
        <v>109768679</v>
      </c>
      <c r="R127" s="10">
        <v>132338097</v>
      </c>
      <c r="S127" s="10">
        <v>636925582</v>
      </c>
      <c r="T127" s="10">
        <v>763671342</v>
      </c>
      <c r="U127" s="10">
        <v>917287431</v>
      </c>
      <c r="V127" s="10">
        <v>1101189003</v>
      </c>
      <c r="W127" s="10">
        <v>1320988045</v>
      </c>
      <c r="X127" s="10">
        <v>1364328628</v>
      </c>
      <c r="Y127" s="10">
        <v>1910169547</v>
      </c>
      <c r="Z127" s="10">
        <v>2673935009</v>
      </c>
      <c r="AA127" s="10">
        <v>3744297515</v>
      </c>
      <c r="AB127" s="10">
        <v>5241541652</v>
      </c>
      <c r="AC127" s="10">
        <v>27419082204</v>
      </c>
      <c r="AD127" s="10">
        <v>32902061490</v>
      </c>
      <c r="AE127" s="10">
        <v>39482527152</v>
      </c>
      <c r="AF127" s="10">
        <v>47379189687</v>
      </c>
      <c r="AG127" s="10">
        <v>56854852287</v>
      </c>
      <c r="AH127" s="10">
        <v>105356546692</v>
      </c>
      <c r="AI127" s="10">
        <v>147499417216</v>
      </c>
      <c r="AJ127" s="10">
        <v>206498785589</v>
      </c>
      <c r="AK127" s="10">
        <v>289099057634</v>
      </c>
      <c r="AL127" s="10">
        <v>404739011959</v>
      </c>
    </row>
    <row r="128" spans="1:38" ht="16.5" customHeight="1">
      <c r="A128" s="2">
        <v>127</v>
      </c>
      <c r="B128" s="23" t="str">
        <f t="shared" si="3"/>
        <v>[10397568,12611289,14107259,17586653,20510429,20207762,24152557,28760847,34812456,41468463,66730927,80064987,96199661,115257113,138955002,668771861,801854909,963151803,1156248453,1387037447,1432545059,2005678024,2807631759,3931512391,5503618735,28790036314,34547164565,41456653510,49748149171,59697594901,110624374027,154874388077,216823724868,303554010516,424975962557]</v>
      </c>
      <c r="C128" s="2"/>
      <c r="D128" s="10">
        <v>10397568</v>
      </c>
      <c r="E128" s="10">
        <v>12611289</v>
      </c>
      <c r="F128" s="10">
        <v>14107259</v>
      </c>
      <c r="G128" s="10">
        <v>17586653</v>
      </c>
      <c r="H128" s="10">
        <v>20510429</v>
      </c>
      <c r="I128" s="10">
        <v>20207762</v>
      </c>
      <c r="J128" s="10">
        <v>24152557</v>
      </c>
      <c r="K128" s="10">
        <v>28760847</v>
      </c>
      <c r="L128" s="10">
        <v>34812456</v>
      </c>
      <c r="M128" s="10">
        <v>41468463</v>
      </c>
      <c r="N128" s="10">
        <v>66730927</v>
      </c>
      <c r="O128" s="10">
        <v>80064987</v>
      </c>
      <c r="P128" s="10">
        <v>96199661</v>
      </c>
      <c r="Q128" s="10">
        <v>115257113</v>
      </c>
      <c r="R128" s="10">
        <v>138955002</v>
      </c>
      <c r="S128" s="10">
        <v>668771861</v>
      </c>
      <c r="T128" s="10">
        <v>801854909</v>
      </c>
      <c r="U128" s="10">
        <v>963151803</v>
      </c>
      <c r="V128" s="10">
        <v>1156248453</v>
      </c>
      <c r="W128" s="10">
        <v>1387037447</v>
      </c>
      <c r="X128" s="10">
        <v>1432545059</v>
      </c>
      <c r="Y128" s="10">
        <v>2005678024</v>
      </c>
      <c r="Z128" s="10">
        <v>2807631759</v>
      </c>
      <c r="AA128" s="10">
        <v>3931512391</v>
      </c>
      <c r="AB128" s="10">
        <v>5503618735</v>
      </c>
      <c r="AC128" s="10">
        <v>28790036314</v>
      </c>
      <c r="AD128" s="10">
        <v>34547164565</v>
      </c>
      <c r="AE128" s="10">
        <v>41456653510</v>
      </c>
      <c r="AF128" s="10">
        <v>49748149171</v>
      </c>
      <c r="AG128" s="10">
        <v>59697594901</v>
      </c>
      <c r="AH128" s="10">
        <v>110624374027</v>
      </c>
      <c r="AI128" s="10">
        <v>154874388077</v>
      </c>
      <c r="AJ128" s="10">
        <v>216823724868</v>
      </c>
      <c r="AK128" s="10">
        <v>303554010516</v>
      </c>
      <c r="AL128" s="10">
        <v>424975962557</v>
      </c>
    </row>
    <row r="129" spans="1:38" ht="16.5" customHeight="1">
      <c r="A129" s="2">
        <v>128</v>
      </c>
      <c r="B129" s="23" t="str">
        <f t="shared" si="3"/>
        <v>[10917446,13241853,14812622,18465986,21535950,21218150,25360185,30198889,36553079,43541886,70067473,84068236,101009644,121019969,145902752,702210454,841947654,1011309393,1214060876,1456389319,1504172312,2105961925,2948013347,4128088011,5778799672,30229538130,36274522793,43529486186,52235556630,62682474646,116155592728,162618107481,227664911111,318731711042,446224760685]</v>
      </c>
      <c r="C129" s="2"/>
      <c r="D129" s="10">
        <v>10917446</v>
      </c>
      <c r="E129" s="10">
        <v>13241853</v>
      </c>
      <c r="F129" s="10">
        <v>14812622</v>
      </c>
      <c r="G129" s="10">
        <v>18465986</v>
      </c>
      <c r="H129" s="10">
        <v>21535950</v>
      </c>
      <c r="I129" s="10">
        <v>21218150</v>
      </c>
      <c r="J129" s="10">
        <v>25360185</v>
      </c>
      <c r="K129" s="10">
        <v>30198889</v>
      </c>
      <c r="L129" s="10">
        <v>36553079</v>
      </c>
      <c r="M129" s="10">
        <v>43541886</v>
      </c>
      <c r="N129" s="10">
        <v>70067473</v>
      </c>
      <c r="O129" s="10">
        <v>84068236</v>
      </c>
      <c r="P129" s="10">
        <v>101009644</v>
      </c>
      <c r="Q129" s="10">
        <v>121019969</v>
      </c>
      <c r="R129" s="10">
        <v>145902752</v>
      </c>
      <c r="S129" s="10">
        <v>702210454</v>
      </c>
      <c r="T129" s="10">
        <v>841947654</v>
      </c>
      <c r="U129" s="10">
        <v>1011309393</v>
      </c>
      <c r="V129" s="10">
        <v>1214060876</v>
      </c>
      <c r="W129" s="10">
        <v>1456389319</v>
      </c>
      <c r="X129" s="10">
        <v>1504172312</v>
      </c>
      <c r="Y129" s="10">
        <v>2105961925</v>
      </c>
      <c r="Z129" s="10">
        <v>2948013347</v>
      </c>
      <c r="AA129" s="10">
        <v>4128088011</v>
      </c>
      <c r="AB129" s="10">
        <v>5778799672</v>
      </c>
      <c r="AC129" s="10">
        <v>30229538130</v>
      </c>
      <c r="AD129" s="10">
        <v>36274522793</v>
      </c>
      <c r="AE129" s="10">
        <v>43529486186</v>
      </c>
      <c r="AF129" s="10">
        <v>52235556630</v>
      </c>
      <c r="AG129" s="10">
        <v>62682474646</v>
      </c>
      <c r="AH129" s="10">
        <v>116155592728</v>
      </c>
      <c r="AI129" s="10">
        <v>162618107481</v>
      </c>
      <c r="AJ129" s="10">
        <v>227664911111</v>
      </c>
      <c r="AK129" s="10">
        <v>318731711042</v>
      </c>
      <c r="AL129" s="10">
        <v>446224760685</v>
      </c>
    </row>
    <row r="130" spans="1:38" ht="16.5" customHeight="1">
      <c r="A130" s="2">
        <v>129</v>
      </c>
      <c r="B130" s="23" t="str">
        <f t="shared" si="3"/>
        <v>[11463318,13903946,15553253,19389285,22612748,22279058,26628194,31708833,38380733,45718980,73570847,88271648,106060126,127070967,153197890,737320977,884045037,1061874863,1274763920,1529208785,1579380928,2211260021,3095414014,4334492412,6067739656,31741015037,38088248933,45705960495,54847334462,65816598378,121963372364,170749012855,239048156667,334668296594,468535998719]</v>
      </c>
      <c r="C130" s="2"/>
      <c r="D130" s="10">
        <v>11463318</v>
      </c>
      <c r="E130" s="10">
        <v>13903946</v>
      </c>
      <c r="F130" s="10">
        <v>15553253</v>
      </c>
      <c r="G130" s="10">
        <v>19389285</v>
      </c>
      <c r="H130" s="10">
        <v>22612748</v>
      </c>
      <c r="I130" s="10">
        <v>22279058</v>
      </c>
      <c r="J130" s="10">
        <v>26628194</v>
      </c>
      <c r="K130" s="10">
        <v>31708833</v>
      </c>
      <c r="L130" s="10">
        <v>38380733</v>
      </c>
      <c r="M130" s="10">
        <v>45718980</v>
      </c>
      <c r="N130" s="10">
        <v>73570847</v>
      </c>
      <c r="O130" s="10">
        <v>88271648</v>
      </c>
      <c r="P130" s="10">
        <v>106060126</v>
      </c>
      <c r="Q130" s="10">
        <v>127070967</v>
      </c>
      <c r="R130" s="10">
        <v>153197890</v>
      </c>
      <c r="S130" s="10">
        <v>737320977</v>
      </c>
      <c r="T130" s="10">
        <v>884045037</v>
      </c>
      <c r="U130" s="10">
        <v>1061874863</v>
      </c>
      <c r="V130" s="10">
        <v>1274763920</v>
      </c>
      <c r="W130" s="10">
        <v>1529208785</v>
      </c>
      <c r="X130" s="10">
        <v>1579380928</v>
      </c>
      <c r="Y130" s="10">
        <v>2211260021</v>
      </c>
      <c r="Z130" s="10">
        <v>3095414014</v>
      </c>
      <c r="AA130" s="10">
        <v>4334492412</v>
      </c>
      <c r="AB130" s="10">
        <v>6067739656</v>
      </c>
      <c r="AC130" s="10">
        <v>31741015037</v>
      </c>
      <c r="AD130" s="10">
        <v>38088248933</v>
      </c>
      <c r="AE130" s="10">
        <v>45705960495</v>
      </c>
      <c r="AF130" s="10">
        <v>54847334462</v>
      </c>
      <c r="AG130" s="10">
        <v>65816598378</v>
      </c>
      <c r="AH130" s="10">
        <v>121963372364</v>
      </c>
      <c r="AI130" s="10">
        <v>170749012855</v>
      </c>
      <c r="AJ130" s="10">
        <v>239048156667</v>
      </c>
      <c r="AK130" s="10">
        <v>334668296594</v>
      </c>
      <c r="AL130" s="10">
        <v>468535998719</v>
      </c>
    </row>
    <row r="131" spans="1:38" ht="16.5" customHeight="1">
      <c r="A131" s="2">
        <v>130</v>
      </c>
      <c r="B131" s="23" t="str">
        <f>"[" &amp; $D131 &amp; "," &amp; $E131 &amp; "," &amp; $F131 &amp; "," &amp; $G131 &amp; "," &amp; $H131 &amp; "," &amp; $I131 &amp; "," &amp; $J131 &amp; "," &amp; $K131 &amp; "," &amp; $L131 &amp; "," &amp; $M131 &amp; "," &amp; $N131 &amp; "," &amp; $O131 &amp; "," &amp; $P131 &amp; "," &amp; $Q131 &amp; "," &amp; $R131 &amp; "," &amp; $S131 &amp; "," &amp; $T131 &amp; "," &amp; $U131 &amp; "," &amp; $V131 &amp; "," &amp; $W131 &amp; "," &amp; $X131 &amp; "," &amp; $Y131 &amp; "," &amp; $Z131 &amp; "," &amp; $AA131 &amp; "," &amp; $AB131 &amp; "," &amp; $AC131 &amp; "," &amp; $AD131 &amp; "," &amp; $AE131 &amp; "," &amp; $AF131 &amp; "," &amp; $AG131 &amp; "," &amp; $AH131  &amp; "," &amp; $AI131 &amp; "," &amp; $AJ131 &amp; "," &amp; $AK131 &amp; "," &amp; $AL131 &amp; "]"</f>
        <v>[12036484,14599143,16330916,20358749,23743385,23393011,27959604,33294275,40299770,48004929,77249389,92685230,111363132,133424515,160857785,774187026,928247289,1114968606,1338502116,1605669224,1658349974,2321823022,3250184715,4551217033,6371126639,33328065789,39992661380,47991258520,57589701185,69107428297,128061540982,179286463498,251000564500,351401711424,491962798655]</v>
      </c>
      <c r="C131" s="2"/>
      <c r="D131" s="10">
        <v>12036484</v>
      </c>
      <c r="E131" s="10">
        <v>14599143</v>
      </c>
      <c r="F131" s="10">
        <v>16330916</v>
      </c>
      <c r="G131" s="10">
        <v>20358749</v>
      </c>
      <c r="H131" s="10">
        <v>23743385</v>
      </c>
      <c r="I131" s="10">
        <v>23393011</v>
      </c>
      <c r="J131" s="10">
        <v>27959604</v>
      </c>
      <c r="K131" s="10">
        <v>33294275</v>
      </c>
      <c r="L131" s="10">
        <v>40299770</v>
      </c>
      <c r="M131" s="10">
        <v>48004929</v>
      </c>
      <c r="N131" s="10">
        <v>77249389</v>
      </c>
      <c r="O131" s="10">
        <v>92685230</v>
      </c>
      <c r="P131" s="10">
        <v>111363132</v>
      </c>
      <c r="Q131" s="10">
        <v>133424515</v>
      </c>
      <c r="R131" s="10">
        <v>160857785</v>
      </c>
      <c r="S131" s="10">
        <v>774187026</v>
      </c>
      <c r="T131" s="10">
        <v>928247289</v>
      </c>
      <c r="U131" s="10">
        <v>1114968606</v>
      </c>
      <c r="V131" s="10">
        <v>1338502116</v>
      </c>
      <c r="W131" s="10">
        <v>1605669224</v>
      </c>
      <c r="X131" s="10">
        <v>1658349974</v>
      </c>
      <c r="Y131" s="10">
        <v>2321823022</v>
      </c>
      <c r="Z131" s="10">
        <v>3250184715</v>
      </c>
      <c r="AA131" s="10">
        <v>4551217033</v>
      </c>
      <c r="AB131" s="10">
        <v>6371126639</v>
      </c>
      <c r="AC131" s="10">
        <v>33328065789</v>
      </c>
      <c r="AD131" s="10">
        <v>39992661380</v>
      </c>
      <c r="AE131" s="10">
        <v>47991258520</v>
      </c>
      <c r="AF131" s="10">
        <v>57589701185</v>
      </c>
      <c r="AG131" s="10">
        <v>69107428297</v>
      </c>
      <c r="AH131" s="10">
        <v>128061540982</v>
      </c>
      <c r="AI131" s="10">
        <v>179286463498</v>
      </c>
      <c r="AJ131" s="10">
        <v>251000564500</v>
      </c>
      <c r="AK131" s="10">
        <v>351401711424</v>
      </c>
      <c r="AL131" s="10">
        <v>491962798655</v>
      </c>
    </row>
    <row r="132" spans="1:38" ht="16.5" customHeight="1">
      <c r="A132" s="2">
        <v>131</v>
      </c>
      <c r="B132" s="23" t="str">
        <f t="shared" ref="B132:B151" si="4">"[" &amp; $D132 &amp; "," &amp; $E132 &amp; "," &amp; $F132 &amp; "," &amp; $G132 &amp; "," &amp; $H132 &amp; "," &amp; $I132 &amp; "," &amp; $J132 &amp; "," &amp; $K132 &amp; "," &amp; $L132 &amp; "," &amp; $M132 &amp; "," &amp; $N132 &amp; "," &amp; $O132 &amp; "," &amp; $P132 &amp; "," &amp; $Q132 &amp; "," &amp; $R132 &amp; "," &amp; $S132 &amp; "," &amp; $T132 &amp; "," &amp; $U132 &amp; "," &amp; $V132 &amp; "," &amp; $W132 &amp; "," &amp; $X132 &amp; "," &amp; $Y132 &amp; "," &amp; $Z132 &amp; "," &amp; $AA132 &amp; "," &amp; $AB132 &amp; "," &amp; $AC132 &amp; "," &amp; $AD132 &amp; "," &amp; $AE132 &amp; "," &amp; $AF132 &amp; "," &amp; $AG132 &amp; "," &amp; $AH132 &amp; "," &amp; $AI132 &amp; "," &amp; $AJ132 &amp; "," &amp; $AK132 &amp; "," &amp; $AL132 &amp; "]"</f>
        <v>[12638308,15329100,17147462,21376686,24930554,24562662,29357584,34958989,42314759,50405175,81111858,97319492,116931289,140095741,168900674,812896377,974659653,1170717036,1405427222,1685952685,1741267473,2437914173,3412693951,4778777885,6689682971,34994469078,41992294449,50390821446,60469186244,72562799712,134464618031,188250786673,263550592725,368971796995,516560938588]</v>
      </c>
      <c r="C132" s="2"/>
      <c r="D132" s="10">
        <v>12638308</v>
      </c>
      <c r="E132" s="10">
        <v>15329100</v>
      </c>
      <c r="F132" s="10">
        <v>17147462</v>
      </c>
      <c r="G132" s="10">
        <v>21376686</v>
      </c>
      <c r="H132" s="10">
        <v>24930554</v>
      </c>
      <c r="I132" s="10">
        <v>24562662</v>
      </c>
      <c r="J132" s="10">
        <v>29357584</v>
      </c>
      <c r="K132" s="10">
        <v>34958989</v>
      </c>
      <c r="L132" s="10">
        <v>42314759</v>
      </c>
      <c r="M132" s="10">
        <v>50405175</v>
      </c>
      <c r="N132" s="10">
        <v>81111858</v>
      </c>
      <c r="O132" s="10">
        <v>97319492</v>
      </c>
      <c r="P132" s="10">
        <v>116931289</v>
      </c>
      <c r="Q132" s="10">
        <v>140095741</v>
      </c>
      <c r="R132" s="10">
        <v>168900674</v>
      </c>
      <c r="S132" s="10">
        <v>812896377</v>
      </c>
      <c r="T132" s="10">
        <v>974659653</v>
      </c>
      <c r="U132" s="10">
        <v>1170717036</v>
      </c>
      <c r="V132" s="10">
        <v>1405427222</v>
      </c>
      <c r="W132" s="10">
        <v>1685952685</v>
      </c>
      <c r="X132" s="10">
        <v>1741267473</v>
      </c>
      <c r="Y132" s="10">
        <v>2437914173</v>
      </c>
      <c r="Z132" s="10">
        <v>3412693951</v>
      </c>
      <c r="AA132" s="10">
        <v>4778777885</v>
      </c>
      <c r="AB132" s="10">
        <v>6689682971</v>
      </c>
      <c r="AC132" s="10">
        <v>34994469078</v>
      </c>
      <c r="AD132" s="10">
        <v>41992294449</v>
      </c>
      <c r="AE132" s="10">
        <v>50390821446</v>
      </c>
      <c r="AF132" s="10">
        <v>60469186244</v>
      </c>
      <c r="AG132" s="10">
        <v>72562799712</v>
      </c>
      <c r="AH132" s="10">
        <v>134464618031</v>
      </c>
      <c r="AI132" s="10">
        <v>188250786673</v>
      </c>
      <c r="AJ132" s="10">
        <v>263550592725</v>
      </c>
      <c r="AK132" s="10">
        <v>368971796995</v>
      </c>
      <c r="AL132" s="10">
        <v>516560938588</v>
      </c>
    </row>
    <row r="133" spans="1:38" ht="16.5" customHeight="1">
      <c r="A133" s="2">
        <v>132</v>
      </c>
      <c r="B133" s="23" t="str">
        <f t="shared" si="4"/>
        <v>[13270223,16095555,18004835,22445520,26177082,25790795,30825463,36706938,44430497,52925434,85167451,102185467,122777853,147100528,177345708,853541196,1023392636,1229252888,1475698583,1770250319,1828330847,2559809882,3583328649,5017716779,7024167120,36744192532,44091909171,52910362518,63492645556,76190939698,141187848933,197663326007,276728122361,387420386845,542388985517]</v>
      </c>
      <c r="C133" s="2"/>
      <c r="D133" s="10">
        <v>13270223</v>
      </c>
      <c r="E133" s="10">
        <v>16095555</v>
      </c>
      <c r="F133" s="10">
        <v>18004835</v>
      </c>
      <c r="G133" s="10">
        <v>22445520</v>
      </c>
      <c r="H133" s="10">
        <v>26177082</v>
      </c>
      <c r="I133" s="10">
        <v>25790795</v>
      </c>
      <c r="J133" s="10">
        <v>30825463</v>
      </c>
      <c r="K133" s="10">
        <v>36706938</v>
      </c>
      <c r="L133" s="10">
        <v>44430497</v>
      </c>
      <c r="M133" s="10">
        <v>52925434</v>
      </c>
      <c r="N133" s="10">
        <v>85167451</v>
      </c>
      <c r="O133" s="10">
        <v>102185467</v>
      </c>
      <c r="P133" s="10">
        <v>122777853</v>
      </c>
      <c r="Q133" s="10">
        <v>147100528</v>
      </c>
      <c r="R133" s="10">
        <v>177345708</v>
      </c>
      <c r="S133" s="10">
        <v>853541196</v>
      </c>
      <c r="T133" s="10">
        <v>1023392636</v>
      </c>
      <c r="U133" s="10">
        <v>1229252888</v>
      </c>
      <c r="V133" s="10">
        <v>1475698583</v>
      </c>
      <c r="W133" s="10">
        <v>1770250319</v>
      </c>
      <c r="X133" s="10">
        <v>1828330847</v>
      </c>
      <c r="Y133" s="10">
        <v>2559809882</v>
      </c>
      <c r="Z133" s="10">
        <v>3583328649</v>
      </c>
      <c r="AA133" s="10">
        <v>5017716779</v>
      </c>
      <c r="AB133" s="10">
        <v>7024167120</v>
      </c>
      <c r="AC133" s="10">
        <v>36744192532</v>
      </c>
      <c r="AD133" s="10">
        <v>44091909171</v>
      </c>
      <c r="AE133" s="10">
        <v>52910362518</v>
      </c>
      <c r="AF133" s="10">
        <v>63492645556</v>
      </c>
      <c r="AG133" s="10">
        <v>76190939698</v>
      </c>
      <c r="AH133" s="10">
        <v>141187848933</v>
      </c>
      <c r="AI133" s="10">
        <v>197663326007</v>
      </c>
      <c r="AJ133" s="10">
        <v>276728122361</v>
      </c>
      <c r="AK133" s="10">
        <v>387420386845</v>
      </c>
      <c r="AL133" s="10">
        <v>542388985517</v>
      </c>
    </row>
    <row r="134" spans="1:38" ht="16.5" customHeight="1">
      <c r="A134" s="2">
        <v>133</v>
      </c>
      <c r="B134" s="23" t="str">
        <f t="shared" si="4"/>
        <v>[13933734,16900333,18905077,23567796,27485936,27080335,32366736,38542285,46652022,55571706,89425824,107294740,128916746,154455554,186212993,896218256,1074562268,1290715532,1549483512,1858762835,1919747389,2687800376,3762495081,5268602618,7375375476,38581402159,46296504630,55555880644,66667277834,80000486683,148247241380,207546492307,290564528479,406791406187,569508434793]</v>
      </c>
      <c r="C134" s="2"/>
      <c r="D134" s="10">
        <v>13933734</v>
      </c>
      <c r="E134" s="10">
        <v>16900333</v>
      </c>
      <c r="F134" s="10">
        <v>18905077</v>
      </c>
      <c r="G134" s="10">
        <v>23567796</v>
      </c>
      <c r="H134" s="10">
        <v>27485936</v>
      </c>
      <c r="I134" s="10">
        <v>27080335</v>
      </c>
      <c r="J134" s="10">
        <v>32366736</v>
      </c>
      <c r="K134" s="10">
        <v>38542285</v>
      </c>
      <c r="L134" s="10">
        <v>46652022</v>
      </c>
      <c r="M134" s="10">
        <v>55571706</v>
      </c>
      <c r="N134" s="10">
        <v>89425824</v>
      </c>
      <c r="O134" s="10">
        <v>107294740</v>
      </c>
      <c r="P134" s="10">
        <v>128916746</v>
      </c>
      <c r="Q134" s="10">
        <v>154455554</v>
      </c>
      <c r="R134" s="10">
        <v>186212993</v>
      </c>
      <c r="S134" s="10">
        <v>896218256</v>
      </c>
      <c r="T134" s="10">
        <v>1074562268</v>
      </c>
      <c r="U134" s="10">
        <v>1290715532</v>
      </c>
      <c r="V134" s="10">
        <v>1549483512</v>
      </c>
      <c r="W134" s="10">
        <v>1858762835</v>
      </c>
      <c r="X134" s="10">
        <v>1919747389</v>
      </c>
      <c r="Y134" s="10">
        <v>2687800376</v>
      </c>
      <c r="Z134" s="10">
        <v>3762495081</v>
      </c>
      <c r="AA134" s="10">
        <v>5268602618</v>
      </c>
      <c r="AB134" s="10">
        <v>7375375476</v>
      </c>
      <c r="AC134" s="10">
        <v>38581402159</v>
      </c>
      <c r="AD134" s="10">
        <v>46296504630</v>
      </c>
      <c r="AE134" s="10">
        <v>55555880644</v>
      </c>
      <c r="AF134" s="10">
        <v>66667277834</v>
      </c>
      <c r="AG134" s="10">
        <v>80000486683</v>
      </c>
      <c r="AH134" s="10">
        <v>148247241380</v>
      </c>
      <c r="AI134" s="10">
        <v>207546492307</v>
      </c>
      <c r="AJ134" s="10">
        <v>290564528479</v>
      </c>
      <c r="AK134" s="10">
        <v>406791406187</v>
      </c>
      <c r="AL134" s="10">
        <v>569508434793</v>
      </c>
    </row>
    <row r="135" spans="1:38" ht="16.5" customHeight="1">
      <c r="A135" s="2">
        <v>134</v>
      </c>
      <c r="B135" s="23" t="str">
        <f t="shared" si="4"/>
        <v>[14630421,17745350,19850331,24746186,28860233,28434352,33985073,40469399,48984623,58350291,93897115,112659477,135362583,162178332,195523643,941029169,1128290381,1355251309,1626957688,1951700977,2015734758,2822190395,3950619835,5532032749,7744144250,40510472267,48611329862,58333674676,70000641726,84000511017,155659603449,217923816922,305092754903,427130976496,597983856533]</v>
      </c>
      <c r="C135" s="2"/>
      <c r="D135" s="10">
        <v>14630421</v>
      </c>
      <c r="E135" s="10">
        <v>17745350</v>
      </c>
      <c r="F135" s="10">
        <v>19850331</v>
      </c>
      <c r="G135" s="10">
        <v>24746186</v>
      </c>
      <c r="H135" s="10">
        <v>28860233</v>
      </c>
      <c r="I135" s="10">
        <v>28434352</v>
      </c>
      <c r="J135" s="10">
        <v>33985073</v>
      </c>
      <c r="K135" s="10">
        <v>40469399</v>
      </c>
      <c r="L135" s="10">
        <v>48984623</v>
      </c>
      <c r="M135" s="10">
        <v>58350291</v>
      </c>
      <c r="N135" s="10">
        <v>93897115</v>
      </c>
      <c r="O135" s="10">
        <v>112659477</v>
      </c>
      <c r="P135" s="10">
        <v>135362583</v>
      </c>
      <c r="Q135" s="10">
        <v>162178332</v>
      </c>
      <c r="R135" s="10">
        <v>195523643</v>
      </c>
      <c r="S135" s="10">
        <v>941029169</v>
      </c>
      <c r="T135" s="10">
        <v>1128290381</v>
      </c>
      <c r="U135" s="10">
        <v>1355251309</v>
      </c>
      <c r="V135" s="10">
        <v>1626957688</v>
      </c>
      <c r="W135" s="10">
        <v>1951700977</v>
      </c>
      <c r="X135" s="10">
        <v>2015734758</v>
      </c>
      <c r="Y135" s="10">
        <v>2822190395</v>
      </c>
      <c r="Z135" s="10">
        <v>3950619835</v>
      </c>
      <c r="AA135" s="10">
        <v>5532032749</v>
      </c>
      <c r="AB135" s="10">
        <v>7744144250</v>
      </c>
      <c r="AC135" s="10">
        <v>40510472267</v>
      </c>
      <c r="AD135" s="10">
        <v>48611329862</v>
      </c>
      <c r="AE135" s="10">
        <v>58333674676</v>
      </c>
      <c r="AF135" s="10">
        <v>70000641726</v>
      </c>
      <c r="AG135" s="10">
        <v>84000511017</v>
      </c>
      <c r="AH135" s="10">
        <v>155659603449</v>
      </c>
      <c r="AI135" s="10">
        <v>217923816922</v>
      </c>
      <c r="AJ135" s="10">
        <v>305092754903</v>
      </c>
      <c r="AK135" s="10">
        <v>427130976496</v>
      </c>
      <c r="AL135" s="10">
        <v>597983856533</v>
      </c>
    </row>
    <row r="136" spans="1:38" ht="16.5" customHeight="1">
      <c r="A136" s="2">
        <v>135</v>
      </c>
      <c r="B136" s="23" t="str">
        <f t="shared" si="4"/>
        <v>[15361942,18632618,20842848,25983495,30303245,29856070,35684327,42492869,51433854,61267806,98591971,118292451,142130712,170287249,205299825,988080627,1184704900,1423013874,1708305572,2049286026,2116521496,2963299915,4148150827,5808634386,8131351463,42535995880,51041896355,61250358410,73500673812,88200536568,163442583621,228820007768,320347392648,448487525321,627883049360]</v>
      </c>
      <c r="C136" s="2"/>
      <c r="D136" s="10">
        <v>15361942</v>
      </c>
      <c r="E136" s="10">
        <v>18632618</v>
      </c>
      <c r="F136" s="10">
        <v>20842848</v>
      </c>
      <c r="G136" s="10">
        <v>25983495</v>
      </c>
      <c r="H136" s="10">
        <v>30303245</v>
      </c>
      <c r="I136" s="10">
        <v>29856070</v>
      </c>
      <c r="J136" s="10">
        <v>35684327</v>
      </c>
      <c r="K136" s="10">
        <v>42492869</v>
      </c>
      <c r="L136" s="10">
        <v>51433854</v>
      </c>
      <c r="M136" s="10">
        <v>61267806</v>
      </c>
      <c r="N136" s="10">
        <v>98591971</v>
      </c>
      <c r="O136" s="10">
        <v>118292451</v>
      </c>
      <c r="P136" s="10">
        <v>142130712</v>
      </c>
      <c r="Q136" s="10">
        <v>170287249</v>
      </c>
      <c r="R136" s="10">
        <v>205299825</v>
      </c>
      <c r="S136" s="10">
        <v>988080627</v>
      </c>
      <c r="T136" s="10">
        <v>1184704900</v>
      </c>
      <c r="U136" s="10">
        <v>1423013874</v>
      </c>
      <c r="V136" s="10">
        <v>1708305572</v>
      </c>
      <c r="W136" s="10">
        <v>2049286026</v>
      </c>
      <c r="X136" s="10">
        <v>2116521496</v>
      </c>
      <c r="Y136" s="10">
        <v>2963299915</v>
      </c>
      <c r="Z136" s="10">
        <v>4148150827</v>
      </c>
      <c r="AA136" s="10">
        <v>5808634386</v>
      </c>
      <c r="AB136" s="10">
        <v>8131351463</v>
      </c>
      <c r="AC136" s="10">
        <v>42535995880</v>
      </c>
      <c r="AD136" s="10">
        <v>51041896355</v>
      </c>
      <c r="AE136" s="10">
        <v>61250358410</v>
      </c>
      <c r="AF136" s="10">
        <v>73500673812</v>
      </c>
      <c r="AG136" s="10">
        <v>88200536568</v>
      </c>
      <c r="AH136" s="10">
        <v>163442583621</v>
      </c>
      <c r="AI136" s="10">
        <v>228820007768</v>
      </c>
      <c r="AJ136" s="10">
        <v>320347392648</v>
      </c>
      <c r="AK136" s="10">
        <v>448487525321</v>
      </c>
      <c r="AL136" s="10">
        <v>627883049360</v>
      </c>
    </row>
    <row r="137" spans="1:38" ht="16.5" customHeight="1">
      <c r="A137" s="2">
        <v>136</v>
      </c>
      <c r="B137" s="23" t="str">
        <f t="shared" si="4"/>
        <v>[16130039,19564249,21884990,27282670,31818407,31348874,37468543,44617512,54005547,64331196,103521570,124207074,149237248,178801611,215564816,1037484658,1243940145,1494164568,1793720851,2151750327,2222347571,3111464911,4355558368,6099066105,8537919036,44662795674,53593991173,64312876331,77175707503,92610563396,171614712802,240261008156,336364762280,470911901587,659277201828]</v>
      </c>
      <c r="C137" s="2"/>
      <c r="D137" s="10">
        <v>16130039</v>
      </c>
      <c r="E137" s="10">
        <v>19564249</v>
      </c>
      <c r="F137" s="10">
        <v>21884990</v>
      </c>
      <c r="G137" s="10">
        <v>27282670</v>
      </c>
      <c r="H137" s="10">
        <v>31818407</v>
      </c>
      <c r="I137" s="10">
        <v>31348874</v>
      </c>
      <c r="J137" s="10">
        <v>37468543</v>
      </c>
      <c r="K137" s="10">
        <v>44617512</v>
      </c>
      <c r="L137" s="10">
        <v>54005547</v>
      </c>
      <c r="M137" s="10">
        <v>64331196</v>
      </c>
      <c r="N137" s="10">
        <v>103521570</v>
      </c>
      <c r="O137" s="10">
        <v>124207074</v>
      </c>
      <c r="P137" s="10">
        <v>149237248</v>
      </c>
      <c r="Q137" s="10">
        <v>178801611</v>
      </c>
      <c r="R137" s="10">
        <v>215564816</v>
      </c>
      <c r="S137" s="10">
        <v>1037484658</v>
      </c>
      <c r="T137" s="10">
        <v>1243940145</v>
      </c>
      <c r="U137" s="10">
        <v>1494164568</v>
      </c>
      <c r="V137" s="10">
        <v>1793720851</v>
      </c>
      <c r="W137" s="10">
        <v>2151750327</v>
      </c>
      <c r="X137" s="10">
        <v>2222347571</v>
      </c>
      <c r="Y137" s="10">
        <v>3111464911</v>
      </c>
      <c r="Z137" s="10">
        <v>4355558368</v>
      </c>
      <c r="AA137" s="10">
        <v>6099066105</v>
      </c>
      <c r="AB137" s="10">
        <v>8537919036</v>
      </c>
      <c r="AC137" s="10">
        <v>44662795674</v>
      </c>
      <c r="AD137" s="10">
        <v>53593991173</v>
      </c>
      <c r="AE137" s="10">
        <v>64312876331</v>
      </c>
      <c r="AF137" s="10">
        <v>77175707503</v>
      </c>
      <c r="AG137" s="10">
        <v>92610563396</v>
      </c>
      <c r="AH137" s="10">
        <v>171614712802</v>
      </c>
      <c r="AI137" s="10">
        <v>240261008156</v>
      </c>
      <c r="AJ137" s="10">
        <v>336364762280</v>
      </c>
      <c r="AK137" s="10">
        <v>470911901587</v>
      </c>
      <c r="AL137" s="10">
        <v>659277201828</v>
      </c>
    </row>
    <row r="138" spans="1:38" ht="16.5" customHeight="1">
      <c r="A138" s="2">
        <v>137</v>
      </c>
      <c r="B138" s="23" t="str">
        <f t="shared" si="4"/>
        <v>[16936541,20542461,22979240,28646804,33409327,32916318,39341970,46848388,56705824,67547756,108697649,130417428,156699110,187741692,226343057,1089358891,1306137152,1568872796,1883406894,2259337843,2333464950,3267038157,4573336286,6404019410,8964814988,46895935458,56273690732,67528520148,81034492878,97241091566,180195448442,252274058564,353183000394,494457496666,692241061919]</v>
      </c>
      <c r="C138" s="2"/>
      <c r="D138" s="10">
        <v>16936541</v>
      </c>
      <c r="E138" s="10">
        <v>20542461</v>
      </c>
      <c r="F138" s="10">
        <v>22979240</v>
      </c>
      <c r="G138" s="10">
        <v>28646804</v>
      </c>
      <c r="H138" s="10">
        <v>33409327</v>
      </c>
      <c r="I138" s="10">
        <v>32916318</v>
      </c>
      <c r="J138" s="10">
        <v>39341970</v>
      </c>
      <c r="K138" s="10">
        <v>46848388</v>
      </c>
      <c r="L138" s="10">
        <v>56705824</v>
      </c>
      <c r="M138" s="10">
        <v>67547756</v>
      </c>
      <c r="N138" s="10">
        <v>108697649</v>
      </c>
      <c r="O138" s="10">
        <v>130417428</v>
      </c>
      <c r="P138" s="10">
        <v>156699110</v>
      </c>
      <c r="Q138" s="10">
        <v>187741692</v>
      </c>
      <c r="R138" s="10">
        <v>226343057</v>
      </c>
      <c r="S138" s="10">
        <v>1089358891</v>
      </c>
      <c r="T138" s="10">
        <v>1306137152</v>
      </c>
      <c r="U138" s="10">
        <v>1568872796</v>
      </c>
      <c r="V138" s="10">
        <v>1883406894</v>
      </c>
      <c r="W138" s="10">
        <v>2259337843</v>
      </c>
      <c r="X138" s="10">
        <v>2333464950</v>
      </c>
      <c r="Y138" s="10">
        <v>3267038157</v>
      </c>
      <c r="Z138" s="10">
        <v>4573336286</v>
      </c>
      <c r="AA138" s="10">
        <v>6404019410</v>
      </c>
      <c r="AB138" s="10">
        <v>8964814988</v>
      </c>
      <c r="AC138" s="10">
        <v>46895935458</v>
      </c>
      <c r="AD138" s="10">
        <v>56273690732</v>
      </c>
      <c r="AE138" s="10">
        <v>67528520148</v>
      </c>
      <c r="AF138" s="10">
        <v>81034492878</v>
      </c>
      <c r="AG138" s="10">
        <v>97241091566</v>
      </c>
      <c r="AH138" s="10">
        <v>180195448442</v>
      </c>
      <c r="AI138" s="10">
        <v>252274058564</v>
      </c>
      <c r="AJ138" s="10">
        <v>353183000394</v>
      </c>
      <c r="AK138" s="10">
        <v>494457496666</v>
      </c>
      <c r="AL138" s="10">
        <v>692241061919</v>
      </c>
    </row>
    <row r="139" spans="1:38" ht="16.5" customHeight="1">
      <c r="A139" s="2">
        <v>138</v>
      </c>
      <c r="B139" s="23" t="str">
        <f t="shared" si="4"/>
        <v>[17783368,21569584,24128202,30079144,35079793,34562134,41309069,49190807,59541115,70925144,114132531,136938299,164534066,197128777,237660210,1143826836,1371444010,1647316436,1977577239,2372304735,2450138198,3430390065,4802003100,6724220381,9413055737,49240732231,59087375269,70904946155,85086217522,102103146144,189205220864,264887761492,370842150414,519180371499,726853115015]</v>
      </c>
      <c r="C139" s="2"/>
      <c r="D139" s="10">
        <v>17783368</v>
      </c>
      <c r="E139" s="10">
        <v>21569584</v>
      </c>
      <c r="F139" s="10">
        <v>24128202</v>
      </c>
      <c r="G139" s="10">
        <v>30079144</v>
      </c>
      <c r="H139" s="10">
        <v>35079793</v>
      </c>
      <c r="I139" s="10">
        <v>34562134</v>
      </c>
      <c r="J139" s="10">
        <v>41309069</v>
      </c>
      <c r="K139" s="10">
        <v>49190807</v>
      </c>
      <c r="L139" s="10">
        <v>59541115</v>
      </c>
      <c r="M139" s="10">
        <v>70925144</v>
      </c>
      <c r="N139" s="10">
        <v>114132531</v>
      </c>
      <c r="O139" s="10">
        <v>136938299</v>
      </c>
      <c r="P139" s="10">
        <v>164534066</v>
      </c>
      <c r="Q139" s="10">
        <v>197128777</v>
      </c>
      <c r="R139" s="10">
        <v>237660210</v>
      </c>
      <c r="S139" s="10">
        <v>1143826836</v>
      </c>
      <c r="T139" s="10">
        <v>1371444010</v>
      </c>
      <c r="U139" s="10">
        <v>1647316436</v>
      </c>
      <c r="V139" s="10">
        <v>1977577239</v>
      </c>
      <c r="W139" s="10">
        <v>2372304735</v>
      </c>
      <c r="X139" s="10">
        <v>2450138198</v>
      </c>
      <c r="Y139" s="10">
        <v>3430390065</v>
      </c>
      <c r="Z139" s="10">
        <v>4802003100</v>
      </c>
      <c r="AA139" s="10">
        <v>6724220381</v>
      </c>
      <c r="AB139" s="10">
        <v>9413055737</v>
      </c>
      <c r="AC139" s="10">
        <v>49240732231</v>
      </c>
      <c r="AD139" s="10">
        <v>59087375269</v>
      </c>
      <c r="AE139" s="10">
        <v>70904946155</v>
      </c>
      <c r="AF139" s="10">
        <v>85086217522</v>
      </c>
      <c r="AG139" s="10">
        <v>102103146144</v>
      </c>
      <c r="AH139" s="10">
        <v>189205220864</v>
      </c>
      <c r="AI139" s="10">
        <v>264887761492</v>
      </c>
      <c r="AJ139" s="10">
        <v>370842150414</v>
      </c>
      <c r="AK139" s="10">
        <v>519180371499</v>
      </c>
      <c r="AL139" s="10">
        <v>726853115015</v>
      </c>
    </row>
    <row r="140" spans="1:38" ht="16.5" customHeight="1">
      <c r="A140" s="2">
        <v>139</v>
      </c>
      <c r="B140" s="23" t="str">
        <f t="shared" si="4"/>
        <v>[18672536,22648063,25334612,31583101,36833783,36290241,43374522,51650347,62518171,74471401,119839158,143785214,172760769,206985216,249543221,1201018178,1440016211,1729682258,2076456101,2490919972,2572645108,3601909568,5042103255,7060431400,9883708524,51702768843,62041744032,74450193463,89340528398,107208303451,198665481907,278132149567,389384257935,545139390074,763195770766]</v>
      </c>
      <c r="C140" s="2"/>
      <c r="D140" s="10">
        <v>18672536</v>
      </c>
      <c r="E140" s="10">
        <v>22648063</v>
      </c>
      <c r="F140" s="10">
        <v>25334612</v>
      </c>
      <c r="G140" s="10">
        <v>31583101</v>
      </c>
      <c r="H140" s="10">
        <v>36833783</v>
      </c>
      <c r="I140" s="10">
        <v>36290241</v>
      </c>
      <c r="J140" s="10">
        <v>43374522</v>
      </c>
      <c r="K140" s="10">
        <v>51650347</v>
      </c>
      <c r="L140" s="10">
        <v>62518171</v>
      </c>
      <c r="M140" s="10">
        <v>74471401</v>
      </c>
      <c r="N140" s="10">
        <v>119839158</v>
      </c>
      <c r="O140" s="10">
        <v>143785214</v>
      </c>
      <c r="P140" s="10">
        <v>172760769</v>
      </c>
      <c r="Q140" s="10">
        <v>206985216</v>
      </c>
      <c r="R140" s="10">
        <v>249543221</v>
      </c>
      <c r="S140" s="10">
        <v>1201018178</v>
      </c>
      <c r="T140" s="10">
        <v>1440016211</v>
      </c>
      <c r="U140" s="10">
        <v>1729682258</v>
      </c>
      <c r="V140" s="10">
        <v>2076456101</v>
      </c>
      <c r="W140" s="10">
        <v>2490919972</v>
      </c>
      <c r="X140" s="10">
        <v>2572645108</v>
      </c>
      <c r="Y140" s="10">
        <v>3601909568</v>
      </c>
      <c r="Z140" s="10">
        <v>5042103255</v>
      </c>
      <c r="AA140" s="10">
        <v>7060431400</v>
      </c>
      <c r="AB140" s="10">
        <v>9883708524</v>
      </c>
      <c r="AC140" s="10">
        <v>51702768843</v>
      </c>
      <c r="AD140" s="10">
        <v>62041744032</v>
      </c>
      <c r="AE140" s="10">
        <v>74450193463</v>
      </c>
      <c r="AF140" s="10">
        <v>89340528398</v>
      </c>
      <c r="AG140" s="10">
        <v>107208303451</v>
      </c>
      <c r="AH140" s="10">
        <v>198665481907</v>
      </c>
      <c r="AI140" s="10">
        <v>278132149567</v>
      </c>
      <c r="AJ140" s="10">
        <v>389384257935</v>
      </c>
      <c r="AK140" s="10">
        <v>545139390074</v>
      </c>
      <c r="AL140" s="10">
        <v>763195770766</v>
      </c>
    </row>
    <row r="141" spans="1:38" ht="16.5" customHeight="1">
      <c r="A141" s="2">
        <v>140</v>
      </c>
      <c r="B141" s="23" t="str">
        <f t="shared" si="4"/>
        <v>[19606163,23780466,26601343,33162256,38675472,38104753,45543248,54232864,65644080,78194971,125831116,150974475,181398807,217334477,262020382,1261069087,1512017022,1816166371,2180278906,2615465971,2701277363,3782005046,5294208418,7413452970,10377893950,54287907285,65143831234,78172703136,93807554818,112568718624,208598756002,292038757045,408853470832,572396359578,801355559304]</v>
      </c>
      <c r="C141" s="2"/>
      <c r="D141" s="10">
        <v>19606163</v>
      </c>
      <c r="E141" s="10">
        <v>23780466</v>
      </c>
      <c r="F141" s="10">
        <v>26601343</v>
      </c>
      <c r="G141" s="10">
        <v>33162256</v>
      </c>
      <c r="H141" s="10">
        <v>38675472</v>
      </c>
      <c r="I141" s="10">
        <v>38104753</v>
      </c>
      <c r="J141" s="10">
        <v>45543248</v>
      </c>
      <c r="K141" s="10">
        <v>54232864</v>
      </c>
      <c r="L141" s="10">
        <v>65644080</v>
      </c>
      <c r="M141" s="10">
        <v>78194971</v>
      </c>
      <c r="N141" s="10">
        <v>125831116</v>
      </c>
      <c r="O141" s="10">
        <v>150974475</v>
      </c>
      <c r="P141" s="10">
        <v>181398807</v>
      </c>
      <c r="Q141" s="10">
        <v>217334477</v>
      </c>
      <c r="R141" s="10">
        <v>262020382</v>
      </c>
      <c r="S141" s="10">
        <v>1261069087</v>
      </c>
      <c r="T141" s="10">
        <v>1512017022</v>
      </c>
      <c r="U141" s="10">
        <v>1816166371</v>
      </c>
      <c r="V141" s="10">
        <v>2180278906</v>
      </c>
      <c r="W141" s="10">
        <v>2615465971</v>
      </c>
      <c r="X141" s="10">
        <v>2701277363</v>
      </c>
      <c r="Y141" s="10">
        <v>3782005046</v>
      </c>
      <c r="Z141" s="10">
        <v>5294208418</v>
      </c>
      <c r="AA141" s="10">
        <v>7413452970</v>
      </c>
      <c r="AB141" s="10">
        <v>10377893950</v>
      </c>
      <c r="AC141" s="10">
        <v>54287907285</v>
      </c>
      <c r="AD141" s="10">
        <v>65143831234</v>
      </c>
      <c r="AE141" s="10">
        <v>78172703136</v>
      </c>
      <c r="AF141" s="10">
        <v>93807554818</v>
      </c>
      <c r="AG141" s="10">
        <v>112568718624</v>
      </c>
      <c r="AH141" s="10">
        <v>208598756002</v>
      </c>
      <c r="AI141" s="10">
        <v>292038757045</v>
      </c>
      <c r="AJ141" s="10">
        <v>408853470832</v>
      </c>
      <c r="AK141" s="10">
        <v>572396359578</v>
      </c>
      <c r="AL141" s="10">
        <v>801355559304</v>
      </c>
    </row>
    <row r="142" spans="1:38" ht="16.5" customHeight="1">
      <c r="A142" s="2">
        <v>141</v>
      </c>
      <c r="B142" s="23" t="str">
        <f t="shared" si="4"/>
        <v>[20586471,24969489,27931410,34820369,40609246,40009991,47820410,56944507,68926284,82104720,132122672,158523199,190468747,228201201,275121401,1324122541,1587617873,1906974690,2289292851,2746239270,2836341231,3971105298,5558918839,7784125619,10896788648,57002302649,68401022796,82081338293,98497932559,118197154555,219028693802,306640694897,429296144374,601016177557,841423337269]</v>
      </c>
      <c r="C142" s="2"/>
      <c r="D142" s="10">
        <v>20586471</v>
      </c>
      <c r="E142" s="10">
        <v>24969489</v>
      </c>
      <c r="F142" s="10">
        <v>27931410</v>
      </c>
      <c r="G142" s="10">
        <v>34820369</v>
      </c>
      <c r="H142" s="10">
        <v>40609246</v>
      </c>
      <c r="I142" s="10">
        <v>40009991</v>
      </c>
      <c r="J142" s="10">
        <v>47820410</v>
      </c>
      <c r="K142" s="10">
        <v>56944507</v>
      </c>
      <c r="L142" s="10">
        <v>68926284</v>
      </c>
      <c r="M142" s="10">
        <v>82104720</v>
      </c>
      <c r="N142" s="10">
        <v>132122672</v>
      </c>
      <c r="O142" s="10">
        <v>158523199</v>
      </c>
      <c r="P142" s="10">
        <v>190468747</v>
      </c>
      <c r="Q142" s="10">
        <v>228201201</v>
      </c>
      <c r="R142" s="10">
        <v>275121401</v>
      </c>
      <c r="S142" s="10">
        <v>1324122541</v>
      </c>
      <c r="T142" s="10">
        <v>1587617873</v>
      </c>
      <c r="U142" s="10">
        <v>1906974690</v>
      </c>
      <c r="V142" s="10">
        <v>2289292851</v>
      </c>
      <c r="W142" s="10">
        <v>2746239270</v>
      </c>
      <c r="X142" s="10">
        <v>2836341231</v>
      </c>
      <c r="Y142" s="10">
        <v>3971105298</v>
      </c>
      <c r="Z142" s="10">
        <v>5558918839</v>
      </c>
      <c r="AA142" s="10">
        <v>7784125619</v>
      </c>
      <c r="AB142" s="10">
        <v>10896788648</v>
      </c>
      <c r="AC142" s="10">
        <v>57002302649</v>
      </c>
      <c r="AD142" s="10">
        <v>68401022796</v>
      </c>
      <c r="AE142" s="10">
        <v>82081338293</v>
      </c>
      <c r="AF142" s="10">
        <v>98497932559</v>
      </c>
      <c r="AG142" s="10">
        <v>118197154555</v>
      </c>
      <c r="AH142" s="10">
        <v>219028693802</v>
      </c>
      <c r="AI142" s="10">
        <v>306640694897</v>
      </c>
      <c r="AJ142" s="10">
        <v>429296144374</v>
      </c>
      <c r="AK142" s="10">
        <v>601016177557</v>
      </c>
      <c r="AL142" s="10">
        <v>841423337269</v>
      </c>
    </row>
    <row r="143" spans="1:38" ht="16.5" customHeight="1">
      <c r="A143" s="2">
        <v>142</v>
      </c>
      <c r="B143" s="23" t="str">
        <f t="shared" si="4"/>
        <v>[21615795,26217963,29327981,36561387,42639708,42010491,50211431,59791732,72372598,86209956,138728806,166449359,199992184,239611261,288877471,1390328668,1666998767,2002323425,2403757494,2883551234,2978158293,4169660563,5836864781,8173331900,11441628080,59852417781,71821073936,86185405208,103422829187,124107012283,229980128492,321972729642,450760951593,631066986435,883494504132]</v>
      </c>
      <c r="C143" s="2"/>
      <c r="D143" s="10">
        <v>21615795</v>
      </c>
      <c r="E143" s="10">
        <v>26217963</v>
      </c>
      <c r="F143" s="10">
        <v>29327981</v>
      </c>
      <c r="G143" s="10">
        <v>36561387</v>
      </c>
      <c r="H143" s="10">
        <v>42639708</v>
      </c>
      <c r="I143" s="10">
        <v>42010491</v>
      </c>
      <c r="J143" s="10">
        <v>50211431</v>
      </c>
      <c r="K143" s="10">
        <v>59791732</v>
      </c>
      <c r="L143" s="10">
        <v>72372598</v>
      </c>
      <c r="M143" s="10">
        <v>86209956</v>
      </c>
      <c r="N143" s="10">
        <v>138728806</v>
      </c>
      <c r="O143" s="10">
        <v>166449359</v>
      </c>
      <c r="P143" s="10">
        <v>199992184</v>
      </c>
      <c r="Q143" s="10">
        <v>239611261</v>
      </c>
      <c r="R143" s="10">
        <v>288877471</v>
      </c>
      <c r="S143" s="10">
        <v>1390328668</v>
      </c>
      <c r="T143" s="10">
        <v>1666998767</v>
      </c>
      <c r="U143" s="10">
        <v>2002323425</v>
      </c>
      <c r="V143" s="10">
        <v>2403757494</v>
      </c>
      <c r="W143" s="10">
        <v>2883551234</v>
      </c>
      <c r="X143" s="10">
        <v>2978158293</v>
      </c>
      <c r="Y143" s="10">
        <v>4169660563</v>
      </c>
      <c r="Z143" s="10">
        <v>5836864781</v>
      </c>
      <c r="AA143" s="10">
        <v>8173331900</v>
      </c>
      <c r="AB143" s="10">
        <v>11441628080</v>
      </c>
      <c r="AC143" s="10">
        <v>59852417781</v>
      </c>
      <c r="AD143" s="10">
        <v>71821073936</v>
      </c>
      <c r="AE143" s="10">
        <v>86185405208</v>
      </c>
      <c r="AF143" s="10">
        <v>103422829187</v>
      </c>
      <c r="AG143" s="10">
        <v>124107012283</v>
      </c>
      <c r="AH143" s="10">
        <v>229980128492</v>
      </c>
      <c r="AI143" s="10">
        <v>321972729642</v>
      </c>
      <c r="AJ143" s="10">
        <v>450760951593</v>
      </c>
      <c r="AK143" s="10">
        <v>631066986435</v>
      </c>
      <c r="AL143" s="10">
        <v>883494504132</v>
      </c>
    </row>
    <row r="144" spans="1:38" ht="16.5" customHeight="1">
      <c r="A144" s="2">
        <v>143</v>
      </c>
      <c r="B144" s="23" t="str">
        <f t="shared" si="4"/>
        <v>[22696585,27528861,30794380,38389456,44771693,44111016,52722003,62781319,75991228,90520454,145665246,174771827,209991793,251591824,303321345,1459845101,1750348705,2102439596,2523945369,3027728796,3127066208,4378143591,6128708020,8581998495,12013709484,62845038670,75412127633,90494675468,108593970646,130312362897,241479134917,338071366124,473298999173,662620335757,927669229339]</v>
      </c>
      <c r="C144" s="2"/>
      <c r="D144" s="10">
        <v>22696585</v>
      </c>
      <c r="E144" s="10">
        <v>27528861</v>
      </c>
      <c r="F144" s="10">
        <v>30794380</v>
      </c>
      <c r="G144" s="10">
        <v>38389456</v>
      </c>
      <c r="H144" s="10">
        <v>44771693</v>
      </c>
      <c r="I144" s="10">
        <v>44111016</v>
      </c>
      <c r="J144" s="10">
        <v>52722003</v>
      </c>
      <c r="K144" s="10">
        <v>62781319</v>
      </c>
      <c r="L144" s="10">
        <v>75991228</v>
      </c>
      <c r="M144" s="10">
        <v>90520454</v>
      </c>
      <c r="N144" s="10">
        <v>145665246</v>
      </c>
      <c r="O144" s="10">
        <v>174771827</v>
      </c>
      <c r="P144" s="10">
        <v>209991793</v>
      </c>
      <c r="Q144" s="10">
        <v>251591824</v>
      </c>
      <c r="R144" s="10">
        <v>303321345</v>
      </c>
      <c r="S144" s="10">
        <v>1459845101</v>
      </c>
      <c r="T144" s="10">
        <v>1750348705</v>
      </c>
      <c r="U144" s="10">
        <v>2102439596</v>
      </c>
      <c r="V144" s="10">
        <v>2523945369</v>
      </c>
      <c r="W144" s="10">
        <v>3027728796</v>
      </c>
      <c r="X144" s="10">
        <v>3127066208</v>
      </c>
      <c r="Y144" s="10">
        <v>4378143591</v>
      </c>
      <c r="Z144" s="10">
        <v>6128708020</v>
      </c>
      <c r="AA144" s="10">
        <v>8581998495</v>
      </c>
      <c r="AB144" s="10">
        <v>12013709484</v>
      </c>
      <c r="AC144" s="10">
        <v>62845038670</v>
      </c>
      <c r="AD144" s="10">
        <v>75412127633</v>
      </c>
      <c r="AE144" s="10">
        <v>90494675468</v>
      </c>
      <c r="AF144" s="10">
        <v>108593970646</v>
      </c>
      <c r="AG144" s="10">
        <v>130312362897</v>
      </c>
      <c r="AH144" s="10">
        <v>241479134917</v>
      </c>
      <c r="AI144" s="10">
        <v>338071366124</v>
      </c>
      <c r="AJ144" s="10">
        <v>473298999173</v>
      </c>
      <c r="AK144" s="10">
        <v>662620335757</v>
      </c>
      <c r="AL144" s="10">
        <v>927669229339</v>
      </c>
    </row>
    <row r="145" spans="1:38" ht="16.5" customHeight="1">
      <c r="A145" s="2">
        <v>144</v>
      </c>
      <c r="B145" s="23" t="str">
        <f t="shared" si="4"/>
        <v>[23831414,28905304,32334099,40308929,47010278,46316567,55358103,65920385,79790789,95046477,152948508,183510418,220491383,264171415,318487412,1532837356,1837866140,2207561576,2650142637,3179115236,3283419518,4597050771,6435143421,9011098420,12614394958,65987290604,79182734015,95019409241,114023669178,136827981042,253553091663,354974934430,496963949132,695751352545,974052690806]</v>
      </c>
      <c r="C145" s="2"/>
      <c r="D145" s="10">
        <v>23831414</v>
      </c>
      <c r="E145" s="10">
        <v>28905304</v>
      </c>
      <c r="F145" s="10">
        <v>32334099</v>
      </c>
      <c r="G145" s="10">
        <v>40308929</v>
      </c>
      <c r="H145" s="10">
        <v>47010278</v>
      </c>
      <c r="I145" s="10">
        <v>46316567</v>
      </c>
      <c r="J145" s="10">
        <v>55358103</v>
      </c>
      <c r="K145" s="10">
        <v>65920385</v>
      </c>
      <c r="L145" s="10">
        <v>79790789</v>
      </c>
      <c r="M145" s="10">
        <v>95046477</v>
      </c>
      <c r="N145" s="10">
        <v>152948508</v>
      </c>
      <c r="O145" s="10">
        <v>183510418</v>
      </c>
      <c r="P145" s="10">
        <v>220491383</v>
      </c>
      <c r="Q145" s="10">
        <v>264171415</v>
      </c>
      <c r="R145" s="10">
        <v>318487412</v>
      </c>
      <c r="S145" s="10">
        <v>1532837356</v>
      </c>
      <c r="T145" s="10">
        <v>1837866140</v>
      </c>
      <c r="U145" s="10">
        <v>2207561576</v>
      </c>
      <c r="V145" s="10">
        <v>2650142637</v>
      </c>
      <c r="W145" s="10">
        <v>3179115236</v>
      </c>
      <c r="X145" s="10">
        <v>3283419518</v>
      </c>
      <c r="Y145" s="10">
        <v>4597050771</v>
      </c>
      <c r="Z145" s="10">
        <v>6435143421</v>
      </c>
      <c r="AA145" s="10">
        <v>9011098420</v>
      </c>
      <c r="AB145" s="10">
        <v>12614394958</v>
      </c>
      <c r="AC145" s="10">
        <v>65987290604</v>
      </c>
      <c r="AD145" s="10">
        <v>79182734015</v>
      </c>
      <c r="AE145" s="10">
        <v>95019409241</v>
      </c>
      <c r="AF145" s="10">
        <v>114023669178</v>
      </c>
      <c r="AG145" s="10">
        <v>136827981042</v>
      </c>
      <c r="AH145" s="10">
        <v>253553091663</v>
      </c>
      <c r="AI145" s="10">
        <v>354974934430</v>
      </c>
      <c r="AJ145" s="10">
        <v>496963949132</v>
      </c>
      <c r="AK145" s="10">
        <v>695751352545</v>
      </c>
      <c r="AL145" s="10">
        <v>974052690806</v>
      </c>
    </row>
    <row r="146" spans="1:38" ht="16.5" customHeight="1">
      <c r="A146" s="2">
        <v>145</v>
      </c>
      <c r="B146" s="23" t="str">
        <f t="shared" si="4"/>
        <v>[25022985,30350569,33950804,42324375,49360792,48632395,58126008,69216404,83780328,99798801,160595933,192685939,231515952,277379986,334411783,1609479224,1929759447,2317939655,2782649769,3338070998,3447590494,4826903310,6756900592,9461653341,13245114706,69286655134,83141870716,99770379703,119724852637,143669380094,266230746246,372723681152,521812146589,730538920172,1022755325346]</v>
      </c>
      <c r="C146" s="2"/>
      <c r="D146" s="10">
        <v>25022985</v>
      </c>
      <c r="E146" s="10">
        <v>30350569</v>
      </c>
      <c r="F146" s="10">
        <v>33950804</v>
      </c>
      <c r="G146" s="10">
        <v>42324375</v>
      </c>
      <c r="H146" s="10">
        <v>49360792</v>
      </c>
      <c r="I146" s="10">
        <v>48632395</v>
      </c>
      <c r="J146" s="10">
        <v>58126008</v>
      </c>
      <c r="K146" s="10">
        <v>69216404</v>
      </c>
      <c r="L146" s="10">
        <v>83780328</v>
      </c>
      <c r="M146" s="10">
        <v>99798801</v>
      </c>
      <c r="N146" s="10">
        <v>160595933</v>
      </c>
      <c r="O146" s="10">
        <v>192685939</v>
      </c>
      <c r="P146" s="10">
        <v>231515952</v>
      </c>
      <c r="Q146" s="10">
        <v>277379986</v>
      </c>
      <c r="R146" s="10">
        <v>334411783</v>
      </c>
      <c r="S146" s="10">
        <v>1609479224</v>
      </c>
      <c r="T146" s="10">
        <v>1929759447</v>
      </c>
      <c r="U146" s="10">
        <v>2317939655</v>
      </c>
      <c r="V146" s="10">
        <v>2782649769</v>
      </c>
      <c r="W146" s="10">
        <v>3338070998</v>
      </c>
      <c r="X146" s="10">
        <v>3447590494</v>
      </c>
      <c r="Y146" s="10">
        <v>4826903310</v>
      </c>
      <c r="Z146" s="10">
        <v>6756900592</v>
      </c>
      <c r="AA146" s="10">
        <v>9461653341</v>
      </c>
      <c r="AB146" s="10">
        <v>13245114706</v>
      </c>
      <c r="AC146" s="10">
        <v>69286655134</v>
      </c>
      <c r="AD146" s="10">
        <v>83141870716</v>
      </c>
      <c r="AE146" s="10">
        <v>99770379703</v>
      </c>
      <c r="AF146" s="10">
        <v>119724852637</v>
      </c>
      <c r="AG146" s="10">
        <v>143669380094</v>
      </c>
      <c r="AH146" s="10">
        <v>266230746246</v>
      </c>
      <c r="AI146" s="10">
        <v>372723681152</v>
      </c>
      <c r="AJ146" s="10">
        <v>521812146589</v>
      </c>
      <c r="AK146" s="10">
        <v>730538920172</v>
      </c>
      <c r="AL146" s="10">
        <v>1022755325346</v>
      </c>
    </row>
    <row r="147" spans="1:38" ht="16.5" customHeight="1">
      <c r="A147" s="2">
        <v>146</v>
      </c>
      <c r="B147" s="23" t="str">
        <f t="shared" si="4"/>
        <v>[26274134,31868097,35648344,44440594,51828832,51064015,61032308,72677224,87969344,104788741,168625730,202320236,243091750,291248985,351132372,1689953185,2026247419,2433836638,2921782257,3504974548,3619970019,5068248476,7094745622,9934736008,13907370441,72750987891,87298964252,104758898688,125711095269,150852849099,279542283558,391359865210,547902753918,767065866181,1073893091613]</v>
      </c>
      <c r="C147" s="2"/>
      <c r="D147" s="10">
        <v>26274134</v>
      </c>
      <c r="E147" s="10">
        <v>31868097</v>
      </c>
      <c r="F147" s="10">
        <v>35648344</v>
      </c>
      <c r="G147" s="10">
        <v>44440594</v>
      </c>
      <c r="H147" s="10">
        <v>51828832</v>
      </c>
      <c r="I147" s="10">
        <v>51064015</v>
      </c>
      <c r="J147" s="10">
        <v>61032308</v>
      </c>
      <c r="K147" s="10">
        <v>72677224</v>
      </c>
      <c r="L147" s="10">
        <v>87969344</v>
      </c>
      <c r="M147" s="10">
        <v>104788741</v>
      </c>
      <c r="N147" s="10">
        <v>168625730</v>
      </c>
      <c r="O147" s="10">
        <v>202320236</v>
      </c>
      <c r="P147" s="10">
        <v>243091750</v>
      </c>
      <c r="Q147" s="10">
        <v>291248985</v>
      </c>
      <c r="R147" s="10">
        <v>351132372</v>
      </c>
      <c r="S147" s="10">
        <v>1689953185</v>
      </c>
      <c r="T147" s="10">
        <v>2026247419</v>
      </c>
      <c r="U147" s="10">
        <v>2433836638</v>
      </c>
      <c r="V147" s="10">
        <v>2921782257</v>
      </c>
      <c r="W147" s="10">
        <v>3504974548</v>
      </c>
      <c r="X147" s="10">
        <v>3619970019</v>
      </c>
      <c r="Y147" s="10">
        <v>5068248476</v>
      </c>
      <c r="Z147" s="10">
        <v>7094745622</v>
      </c>
      <c r="AA147" s="10">
        <v>9934736008</v>
      </c>
      <c r="AB147" s="10">
        <v>13907370441</v>
      </c>
      <c r="AC147" s="10">
        <v>72750987891</v>
      </c>
      <c r="AD147" s="10">
        <v>87298964252</v>
      </c>
      <c r="AE147" s="10">
        <v>104758898688</v>
      </c>
      <c r="AF147" s="10">
        <v>125711095269</v>
      </c>
      <c r="AG147" s="10">
        <v>150852849099</v>
      </c>
      <c r="AH147" s="10">
        <v>279542283558</v>
      </c>
      <c r="AI147" s="10">
        <v>391359865210</v>
      </c>
      <c r="AJ147" s="10">
        <v>547902753918</v>
      </c>
      <c r="AK147" s="10">
        <v>767065866181</v>
      </c>
      <c r="AL147" s="10">
        <v>1073893091613</v>
      </c>
    </row>
    <row r="148" spans="1:38" ht="16.5" customHeight="1">
      <c r="A148" s="2">
        <v>147</v>
      </c>
      <c r="B148" s="23" t="str">
        <f t="shared" si="4"/>
        <v>[27587841,33461502,37430761,46662624,54420274,53617216,64083923,76311085,92367811,110028178,177057017,212436248,255246338,305811434,368688991,1774450844,2127559790,2555528470,3067871370,3680223275,3800968520,5321660900,7449482903,10431472808,14602738963,76388537286,91663912465,109996843622,131996650032,158395491554,293519397736,410927858471,575297891614,805419159490,1127587746194]</v>
      </c>
      <c r="C148" s="2"/>
      <c r="D148" s="10">
        <v>27587841</v>
      </c>
      <c r="E148" s="10">
        <v>33461502</v>
      </c>
      <c r="F148" s="10">
        <v>37430761</v>
      </c>
      <c r="G148" s="10">
        <v>46662624</v>
      </c>
      <c r="H148" s="10">
        <v>54420274</v>
      </c>
      <c r="I148" s="10">
        <v>53617216</v>
      </c>
      <c r="J148" s="10">
        <v>64083923</v>
      </c>
      <c r="K148" s="10">
        <v>76311085</v>
      </c>
      <c r="L148" s="10">
        <v>92367811</v>
      </c>
      <c r="M148" s="10">
        <v>110028178</v>
      </c>
      <c r="N148" s="10">
        <v>177057017</v>
      </c>
      <c r="O148" s="10">
        <v>212436248</v>
      </c>
      <c r="P148" s="10">
        <v>255246338</v>
      </c>
      <c r="Q148" s="10">
        <v>305811434</v>
      </c>
      <c r="R148" s="10">
        <v>368688991</v>
      </c>
      <c r="S148" s="10">
        <v>1774450844</v>
      </c>
      <c r="T148" s="10">
        <v>2127559790</v>
      </c>
      <c r="U148" s="10">
        <v>2555528470</v>
      </c>
      <c r="V148" s="10">
        <v>3067871370</v>
      </c>
      <c r="W148" s="10">
        <v>3680223275</v>
      </c>
      <c r="X148" s="10">
        <v>3800968520</v>
      </c>
      <c r="Y148" s="10">
        <v>5321660900</v>
      </c>
      <c r="Z148" s="10">
        <v>7449482903</v>
      </c>
      <c r="AA148" s="10">
        <v>10431472808</v>
      </c>
      <c r="AB148" s="10">
        <v>14602738963</v>
      </c>
      <c r="AC148" s="10">
        <v>76388537286</v>
      </c>
      <c r="AD148" s="10">
        <v>91663912465</v>
      </c>
      <c r="AE148" s="10">
        <v>109996843622</v>
      </c>
      <c r="AF148" s="10">
        <v>131996650032</v>
      </c>
      <c r="AG148" s="10">
        <v>158395491554</v>
      </c>
      <c r="AH148" s="10">
        <v>293519397736</v>
      </c>
      <c r="AI148" s="10">
        <v>410927858471</v>
      </c>
      <c r="AJ148" s="10">
        <v>575297891614</v>
      </c>
      <c r="AK148" s="10">
        <v>805419159490</v>
      </c>
      <c r="AL148" s="10">
        <v>1127587746194</v>
      </c>
    </row>
    <row r="149" spans="1:38" ht="16.5" customHeight="1">
      <c r="A149" s="2">
        <v>148</v>
      </c>
      <c r="B149" s="23" t="str">
        <f t="shared" si="4"/>
        <v>[28967233,35134577,39302299,48995755,57141288,56298077,67288119,80126639,96986202,115529587,185909868,223058060,268008655,321102006,387123441,1863173386,2233937780,2683304894,3221264939,3864234439,3991016946,5587743945,7821957048,10953046448,15332875911,80207964150,96247108088,115496685803,138596482534,166315266132,308195367623,431474251395,604062786195,845690117465,1183967133504]</v>
      </c>
      <c r="C149" s="2"/>
      <c r="D149" s="10">
        <v>28967233</v>
      </c>
      <c r="E149" s="10">
        <v>35134577</v>
      </c>
      <c r="F149" s="10">
        <v>39302299</v>
      </c>
      <c r="G149" s="10">
        <v>48995755</v>
      </c>
      <c r="H149" s="10">
        <v>57141288</v>
      </c>
      <c r="I149" s="10">
        <v>56298077</v>
      </c>
      <c r="J149" s="10">
        <v>67288119</v>
      </c>
      <c r="K149" s="10">
        <v>80126639</v>
      </c>
      <c r="L149" s="10">
        <v>96986202</v>
      </c>
      <c r="M149" s="10">
        <v>115529587</v>
      </c>
      <c r="N149" s="10">
        <v>185909868</v>
      </c>
      <c r="O149" s="10">
        <v>223058060</v>
      </c>
      <c r="P149" s="10">
        <v>268008655</v>
      </c>
      <c r="Q149" s="10">
        <v>321102006</v>
      </c>
      <c r="R149" s="10">
        <v>387123441</v>
      </c>
      <c r="S149" s="10">
        <v>1863173386</v>
      </c>
      <c r="T149" s="10">
        <v>2233937780</v>
      </c>
      <c r="U149" s="10">
        <v>2683304894</v>
      </c>
      <c r="V149" s="10">
        <v>3221264939</v>
      </c>
      <c r="W149" s="10">
        <v>3864234439</v>
      </c>
      <c r="X149" s="10">
        <v>3991016946</v>
      </c>
      <c r="Y149" s="10">
        <v>5587743945</v>
      </c>
      <c r="Z149" s="10">
        <v>7821957048</v>
      </c>
      <c r="AA149" s="10">
        <v>10953046448</v>
      </c>
      <c r="AB149" s="10">
        <v>15332875911</v>
      </c>
      <c r="AC149" s="10">
        <v>80207964150</v>
      </c>
      <c r="AD149" s="10">
        <v>96247108088</v>
      </c>
      <c r="AE149" s="10">
        <v>115496685803</v>
      </c>
      <c r="AF149" s="10">
        <v>138596482534</v>
      </c>
      <c r="AG149" s="10">
        <v>166315266132</v>
      </c>
      <c r="AH149" s="10">
        <v>308195367623</v>
      </c>
      <c r="AI149" s="10">
        <v>431474251395</v>
      </c>
      <c r="AJ149" s="10">
        <v>604062786195</v>
      </c>
      <c r="AK149" s="10">
        <v>845690117465</v>
      </c>
      <c r="AL149" s="10">
        <v>1183967133504</v>
      </c>
    </row>
    <row r="150" spans="1:38" ht="16.5" customHeight="1">
      <c r="A150" s="2">
        <v>149</v>
      </c>
      <c r="B150" s="23" t="str">
        <f t="shared" si="4"/>
        <v>[30415595,36891306,41267414,51445543,59998352,59112981,70652525,84132971,101835512,121306066,195205361,234210963,281409088,337157106,406479613,1956332055,2345634669,2817470139,3382328186,4057446161,4190567793,5867131142,8213054900,11500698770,16099519707,84218362358,101059463492,121271520093,145526306661,174631029439,323605136004,453047963965,634265925505,887974623338,1243165490179]</v>
      </c>
      <c r="C150" s="2"/>
      <c r="D150" s="10">
        <v>30415595</v>
      </c>
      <c r="E150" s="10">
        <v>36891306</v>
      </c>
      <c r="F150" s="10">
        <v>41267414</v>
      </c>
      <c r="G150" s="10">
        <v>51445543</v>
      </c>
      <c r="H150" s="10">
        <v>59998352</v>
      </c>
      <c r="I150" s="10">
        <v>59112981</v>
      </c>
      <c r="J150" s="10">
        <v>70652525</v>
      </c>
      <c r="K150" s="10">
        <v>84132971</v>
      </c>
      <c r="L150" s="10">
        <v>101835512</v>
      </c>
      <c r="M150" s="10">
        <v>121306066</v>
      </c>
      <c r="N150" s="10">
        <v>195205361</v>
      </c>
      <c r="O150" s="10">
        <v>234210963</v>
      </c>
      <c r="P150" s="10">
        <v>281409088</v>
      </c>
      <c r="Q150" s="10">
        <v>337157106</v>
      </c>
      <c r="R150" s="10">
        <v>406479613</v>
      </c>
      <c r="S150" s="10">
        <v>1956332055</v>
      </c>
      <c r="T150" s="10">
        <v>2345634669</v>
      </c>
      <c r="U150" s="10">
        <v>2817470139</v>
      </c>
      <c r="V150" s="10">
        <v>3382328186</v>
      </c>
      <c r="W150" s="10">
        <v>4057446161</v>
      </c>
      <c r="X150" s="10">
        <v>4190567793</v>
      </c>
      <c r="Y150" s="10">
        <v>5867131142</v>
      </c>
      <c r="Z150" s="10">
        <v>8213054900</v>
      </c>
      <c r="AA150" s="10">
        <v>11500698770</v>
      </c>
      <c r="AB150" s="10">
        <v>16099519707</v>
      </c>
      <c r="AC150" s="10">
        <v>84218362358</v>
      </c>
      <c r="AD150" s="10">
        <v>101059463492</v>
      </c>
      <c r="AE150" s="10">
        <v>121271520093</v>
      </c>
      <c r="AF150" s="10">
        <v>145526306661</v>
      </c>
      <c r="AG150" s="10">
        <v>174631029439</v>
      </c>
      <c r="AH150" s="10">
        <v>323605136004</v>
      </c>
      <c r="AI150" s="10">
        <v>453047963965</v>
      </c>
      <c r="AJ150" s="10">
        <v>634265925505</v>
      </c>
      <c r="AK150" s="10">
        <v>887974623338</v>
      </c>
      <c r="AL150" s="10">
        <v>1243165490179</v>
      </c>
    </row>
    <row r="151" spans="1:38" ht="16.5" customHeight="1">
      <c r="A151" s="2">
        <v>150</v>
      </c>
      <c r="B151" s="23" t="str">
        <f t="shared" si="4"/>
        <v>[31936375,38735871,43330785,54017820,62998270,62068630,74185151,88339620,106927288,127371369,204965629,245921511,295479542,354014961,426803594,2054148658,2462916402,2958343646,3551444595,4260318469,4400096183,6160487699,8623707645,12075733709,16904495692,88429280476,106112436667,127335096098,152802621994,183362580911,339785392804,475700362163,665979221780,932373354505,1305323764688]</v>
      </c>
      <c r="C151" s="2"/>
      <c r="D151" s="10">
        <v>31936375</v>
      </c>
      <c r="E151" s="10">
        <v>38735871</v>
      </c>
      <c r="F151" s="10">
        <v>43330785</v>
      </c>
      <c r="G151" s="10">
        <v>54017820</v>
      </c>
      <c r="H151" s="10">
        <v>62998270</v>
      </c>
      <c r="I151" s="10">
        <v>62068630</v>
      </c>
      <c r="J151" s="10">
        <v>74185151</v>
      </c>
      <c r="K151" s="10">
        <v>88339620</v>
      </c>
      <c r="L151" s="10">
        <v>106927288</v>
      </c>
      <c r="M151" s="10">
        <v>127371369</v>
      </c>
      <c r="N151" s="10">
        <v>204965629</v>
      </c>
      <c r="O151" s="10">
        <v>245921511</v>
      </c>
      <c r="P151" s="10">
        <v>295479542</v>
      </c>
      <c r="Q151" s="10">
        <v>354014961</v>
      </c>
      <c r="R151" s="10">
        <v>426803594</v>
      </c>
      <c r="S151" s="10">
        <v>2054148658</v>
      </c>
      <c r="T151" s="10">
        <v>2462916402</v>
      </c>
      <c r="U151" s="10">
        <v>2958343646</v>
      </c>
      <c r="V151" s="10">
        <v>3551444595</v>
      </c>
      <c r="W151" s="10">
        <v>4260318469</v>
      </c>
      <c r="X151" s="10">
        <v>4400096183</v>
      </c>
      <c r="Y151" s="10">
        <v>6160487699</v>
      </c>
      <c r="Z151" s="10">
        <v>8623707645</v>
      </c>
      <c r="AA151" s="10">
        <v>12075733709</v>
      </c>
      <c r="AB151" s="10">
        <v>16904495692</v>
      </c>
      <c r="AC151" s="10">
        <v>88429280476</v>
      </c>
      <c r="AD151" s="10">
        <v>106112436667</v>
      </c>
      <c r="AE151" s="10">
        <v>127335096098</v>
      </c>
      <c r="AF151" s="10">
        <v>152802621994</v>
      </c>
      <c r="AG151" s="10">
        <v>183362580911</v>
      </c>
      <c r="AH151" s="10">
        <v>339785392804</v>
      </c>
      <c r="AI151" s="10">
        <v>475700362163</v>
      </c>
      <c r="AJ151" s="10">
        <v>665979221780</v>
      </c>
      <c r="AK151" s="10">
        <v>932373354505</v>
      </c>
      <c r="AL151" s="10">
        <v>1305323764688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5"/>
  <sheetViews>
    <sheetView workbookViewId="0">
      <selection activeCell="D1" sqref="D1:D1048576"/>
    </sheetView>
  </sheetViews>
  <sheetFormatPr defaultRowHeight="17.399999999999999"/>
  <cols>
    <col min="2" max="2" width="17" customWidth="1"/>
    <col min="3" max="3" width="14.5" customWidth="1"/>
    <col min="5" max="11" width="17.69921875" bestFit="1" customWidth="1"/>
    <col min="12" max="18" width="12.8984375" bestFit="1" customWidth="1"/>
  </cols>
  <sheetData>
    <row r="1" spans="1:18" ht="17.55" customHeight="1" thickBot="1">
      <c r="A1" s="1" t="s">
        <v>0</v>
      </c>
      <c r="B1" s="1" t="s">
        <v>491</v>
      </c>
      <c r="C1" s="1" t="s">
        <v>490</v>
      </c>
      <c r="D1" s="1"/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  <c r="Q1" s="1" t="s">
        <v>504</v>
      </c>
      <c r="R1" s="1" t="s">
        <v>505</v>
      </c>
    </row>
    <row r="2" spans="1:18" ht="16.5" customHeight="1">
      <c r="A2" s="2">
        <v>1</v>
      </c>
      <c r="B2" s="23" t="str">
        <f t="shared" ref="B2:B15" si="0">"[" &amp; $E2 &amp; "," &amp; $F2 &amp; "," &amp; $G2 &amp; "," &amp; $H2 &amp; "," &amp; $I2 &amp; "," &amp; $J2 &amp; "," &amp; $K2 &amp;"]"</f>
        <v>[2,4,8,16,32,64,128]</v>
      </c>
      <c r="C2" s="23" t="str">
        <f t="shared" ref="C2:C15" si="1">"[" &amp; $L2 &amp; "," &amp; $M2 &amp; "," &amp; $N2 &amp; "," &amp; $O2 &amp; "," &amp; $P2 &amp; "," &amp; $Q2 &amp; "," &amp; $R2 &amp;"]"</f>
        <v>[60,270,950,2380,5950,14880,22320]</v>
      </c>
      <c r="D2" s="2"/>
      <c r="E2" s="2">
        <v>2</v>
      </c>
      <c r="F2" s="2">
        <v>4</v>
      </c>
      <c r="G2" s="2">
        <v>8</v>
      </c>
      <c r="H2" s="2">
        <f t="shared" ref="H2:K8" si="2">G2*2</f>
        <v>16</v>
      </c>
      <c r="I2" s="2">
        <f t="shared" si="2"/>
        <v>32</v>
      </c>
      <c r="J2" s="2">
        <f t="shared" si="2"/>
        <v>64</v>
      </c>
      <c r="K2" s="2">
        <f t="shared" si="2"/>
        <v>128</v>
      </c>
      <c r="L2" s="2">
        <v>60</v>
      </c>
      <c r="M2" s="2">
        <v>270</v>
      </c>
      <c r="N2" s="2">
        <v>950</v>
      </c>
      <c r="O2" s="35">
        <v>2380</v>
      </c>
      <c r="P2" s="35">
        <v>5950</v>
      </c>
      <c r="Q2" s="35">
        <v>14880</v>
      </c>
      <c r="R2" s="35">
        <v>22320</v>
      </c>
    </row>
    <row r="3" spans="1:18" ht="16.5" customHeight="1">
      <c r="A3" s="2">
        <v>2</v>
      </c>
      <c r="B3" s="23" t="str">
        <f t="shared" si="0"/>
        <v>[2,4,8,16,32,64,128]</v>
      </c>
      <c r="C3" s="23" t="str">
        <f t="shared" si="1"/>
        <v>[80,360,1260,3150,7880,19700,29550]</v>
      </c>
      <c r="D3" s="2"/>
      <c r="E3" s="2">
        <v>2</v>
      </c>
      <c r="F3" s="2">
        <v>4</v>
      </c>
      <c r="G3" s="2">
        <v>8</v>
      </c>
      <c r="H3" s="2">
        <f t="shared" si="2"/>
        <v>16</v>
      </c>
      <c r="I3" s="2">
        <f t="shared" si="2"/>
        <v>32</v>
      </c>
      <c r="J3" s="2">
        <f t="shared" si="2"/>
        <v>64</v>
      </c>
      <c r="K3" s="2">
        <f t="shared" si="2"/>
        <v>128</v>
      </c>
      <c r="L3" s="2">
        <v>80</v>
      </c>
      <c r="M3" s="2">
        <v>360</v>
      </c>
      <c r="N3" s="35">
        <v>1260</v>
      </c>
      <c r="O3" s="35">
        <v>3150</v>
      </c>
      <c r="P3" s="35">
        <v>7880</v>
      </c>
      <c r="Q3" s="35">
        <v>19700</v>
      </c>
      <c r="R3" s="35">
        <v>29550</v>
      </c>
    </row>
    <row r="4" spans="1:18" ht="16.5" customHeight="1">
      <c r="A4" s="2">
        <v>3</v>
      </c>
      <c r="B4" s="23" t="str">
        <f t="shared" si="0"/>
        <v>[2,4,8,16,32,64,128]</v>
      </c>
      <c r="C4" s="23" t="str">
        <f t="shared" si="1"/>
        <v>[100,450,1580,3950,9880,24700,37050]</v>
      </c>
      <c r="D4" s="2"/>
      <c r="E4" s="2">
        <v>2</v>
      </c>
      <c r="F4" s="2">
        <v>4</v>
      </c>
      <c r="G4" s="2">
        <v>8</v>
      </c>
      <c r="H4" s="2">
        <f t="shared" si="2"/>
        <v>16</v>
      </c>
      <c r="I4" s="2">
        <f t="shared" si="2"/>
        <v>32</v>
      </c>
      <c r="J4" s="2">
        <f t="shared" si="2"/>
        <v>64</v>
      </c>
      <c r="K4" s="2">
        <f t="shared" si="2"/>
        <v>128</v>
      </c>
      <c r="L4" s="2">
        <v>100</v>
      </c>
      <c r="M4" s="2">
        <v>450</v>
      </c>
      <c r="N4" s="35">
        <v>1580</v>
      </c>
      <c r="O4" s="35">
        <v>3950</v>
      </c>
      <c r="P4" s="35">
        <v>9880</v>
      </c>
      <c r="Q4" s="35">
        <v>24700</v>
      </c>
      <c r="R4" s="35">
        <v>37050</v>
      </c>
    </row>
    <row r="5" spans="1:18" ht="16.5" customHeight="1">
      <c r="A5" s="2">
        <v>4</v>
      </c>
      <c r="B5" s="23" t="str">
        <f t="shared" si="0"/>
        <v>[2,4,8,16,32,64,128]</v>
      </c>
      <c r="C5" s="23" t="str">
        <f t="shared" si="1"/>
        <v>[120,540,1890,4730,11830,29580,44370]</v>
      </c>
      <c r="D5" s="2"/>
      <c r="E5" s="2">
        <v>2</v>
      </c>
      <c r="F5" s="2">
        <v>4</v>
      </c>
      <c r="G5" s="2">
        <v>8</v>
      </c>
      <c r="H5" s="2">
        <f t="shared" si="2"/>
        <v>16</v>
      </c>
      <c r="I5" s="2">
        <f t="shared" si="2"/>
        <v>32</v>
      </c>
      <c r="J5" s="2">
        <f t="shared" si="2"/>
        <v>64</v>
      </c>
      <c r="K5" s="2">
        <f t="shared" si="2"/>
        <v>128</v>
      </c>
      <c r="L5" s="2">
        <v>120</v>
      </c>
      <c r="M5" s="2">
        <v>540</v>
      </c>
      <c r="N5" s="35">
        <v>1890</v>
      </c>
      <c r="O5" s="35">
        <v>4730</v>
      </c>
      <c r="P5" s="35">
        <v>11830</v>
      </c>
      <c r="Q5" s="35">
        <v>29580</v>
      </c>
      <c r="R5" s="35">
        <v>44370</v>
      </c>
    </row>
    <row r="6" spans="1:18" ht="16.5" customHeight="1">
      <c r="A6" s="2">
        <v>5</v>
      </c>
      <c r="B6" s="23" t="str">
        <f t="shared" si="0"/>
        <v>[2,4,8,16,32,64,128]</v>
      </c>
      <c r="C6" s="23" t="str">
        <f t="shared" si="1"/>
        <v>[140,630,2210,5530,13830,34580,51870]</v>
      </c>
      <c r="D6" s="2"/>
      <c r="E6" s="2">
        <v>2</v>
      </c>
      <c r="F6" s="2">
        <v>4</v>
      </c>
      <c r="G6" s="2">
        <v>8</v>
      </c>
      <c r="H6" s="2">
        <f t="shared" si="2"/>
        <v>16</v>
      </c>
      <c r="I6" s="2">
        <f t="shared" si="2"/>
        <v>32</v>
      </c>
      <c r="J6" s="2">
        <f t="shared" si="2"/>
        <v>64</v>
      </c>
      <c r="K6" s="2">
        <f t="shared" si="2"/>
        <v>128</v>
      </c>
      <c r="L6" s="2">
        <v>140</v>
      </c>
      <c r="M6" s="2">
        <v>630</v>
      </c>
      <c r="N6" s="35">
        <v>2210</v>
      </c>
      <c r="O6" s="35">
        <v>5530</v>
      </c>
      <c r="P6" s="35">
        <v>13830</v>
      </c>
      <c r="Q6" s="35">
        <v>34580</v>
      </c>
      <c r="R6" s="35">
        <v>51870</v>
      </c>
    </row>
    <row r="7" spans="1:18" ht="16.5" customHeight="1">
      <c r="A7" s="2">
        <v>6</v>
      </c>
      <c r="B7" s="23" t="str">
        <f t="shared" si="0"/>
        <v>[2,4,8,16,32,64,128]</v>
      </c>
      <c r="C7" s="23" t="str">
        <f t="shared" si="1"/>
        <v>[160,720,2520,6300,15750,39380,59070]</v>
      </c>
      <c r="D7" s="2"/>
      <c r="E7" s="2">
        <v>2</v>
      </c>
      <c r="F7" s="2">
        <v>4</v>
      </c>
      <c r="G7" s="2">
        <v>8</v>
      </c>
      <c r="H7" s="2">
        <f t="shared" si="2"/>
        <v>16</v>
      </c>
      <c r="I7" s="2">
        <f t="shared" si="2"/>
        <v>32</v>
      </c>
      <c r="J7" s="2">
        <f t="shared" si="2"/>
        <v>64</v>
      </c>
      <c r="K7" s="2">
        <f t="shared" si="2"/>
        <v>128</v>
      </c>
      <c r="L7" s="2">
        <v>160</v>
      </c>
      <c r="M7" s="2">
        <v>720</v>
      </c>
      <c r="N7" s="35">
        <v>2520</v>
      </c>
      <c r="O7" s="35">
        <v>6300</v>
      </c>
      <c r="P7" s="35">
        <v>15750</v>
      </c>
      <c r="Q7" s="35">
        <v>39380</v>
      </c>
      <c r="R7" s="35">
        <v>59070</v>
      </c>
    </row>
    <row r="8" spans="1:18" ht="16.5" customHeight="1">
      <c r="A8" s="2">
        <v>7</v>
      </c>
      <c r="B8" s="23" t="str">
        <f t="shared" si="0"/>
        <v>[2,4,8,16,32,64,128]</v>
      </c>
      <c r="C8" s="23" t="str">
        <f t="shared" si="1"/>
        <v>[180,810,2840,7100,17750,44380,66570]</v>
      </c>
      <c r="D8" s="2"/>
      <c r="E8" s="2">
        <v>2</v>
      </c>
      <c r="F8" s="2">
        <v>4</v>
      </c>
      <c r="G8" s="2">
        <v>8</v>
      </c>
      <c r="H8" s="2">
        <f t="shared" si="2"/>
        <v>16</v>
      </c>
      <c r="I8" s="2">
        <f t="shared" si="2"/>
        <v>32</v>
      </c>
      <c r="J8" s="2">
        <f t="shared" si="2"/>
        <v>64</v>
      </c>
      <c r="K8" s="2">
        <f t="shared" si="2"/>
        <v>128</v>
      </c>
      <c r="L8" s="2">
        <v>180</v>
      </c>
      <c r="M8" s="2">
        <v>810</v>
      </c>
      <c r="N8" s="35">
        <v>2840</v>
      </c>
      <c r="O8" s="35">
        <v>7100</v>
      </c>
      <c r="P8" s="35">
        <v>17750</v>
      </c>
      <c r="Q8" s="35">
        <v>44380</v>
      </c>
      <c r="R8" s="35">
        <v>66570</v>
      </c>
    </row>
    <row r="9" spans="1:18" ht="16.5" customHeight="1">
      <c r="A9" s="2">
        <v>8</v>
      </c>
      <c r="B9" s="23" t="str">
        <f t="shared" si="0"/>
        <v>[2,8,32,64,128,0,0]</v>
      </c>
      <c r="C9" s="23" t="str">
        <f t="shared" si="1"/>
        <v>[60,270,1220,4270,14950,0,0]</v>
      </c>
      <c r="D9" s="2"/>
      <c r="E9" s="2">
        <v>2</v>
      </c>
      <c r="F9" s="2">
        <v>8</v>
      </c>
      <c r="G9" s="35">
        <v>32</v>
      </c>
      <c r="H9" s="35">
        <v>64</v>
      </c>
      <c r="I9" s="35">
        <v>128</v>
      </c>
      <c r="J9" s="2">
        <v>0</v>
      </c>
      <c r="K9" s="2">
        <v>0</v>
      </c>
      <c r="L9" s="2">
        <v>60</v>
      </c>
      <c r="M9" s="2">
        <v>270</v>
      </c>
      <c r="N9" s="35">
        <v>1220</v>
      </c>
      <c r="O9" s="35">
        <v>4270</v>
      </c>
      <c r="P9" s="35">
        <v>14950</v>
      </c>
      <c r="Q9" s="2">
        <v>0</v>
      </c>
      <c r="R9" s="2">
        <v>0</v>
      </c>
    </row>
    <row r="10" spans="1:18" ht="16.5" customHeight="1">
      <c r="A10" s="2">
        <v>9</v>
      </c>
      <c r="B10" s="23" t="str">
        <f t="shared" si="0"/>
        <v>[2,8,32,64,128,0,0]</v>
      </c>
      <c r="C10" s="23" t="str">
        <f t="shared" si="1"/>
        <v>[120,540,2430,8510,29790,0,0]</v>
      </c>
      <c r="D10" s="2"/>
      <c r="E10" s="2">
        <v>2</v>
      </c>
      <c r="F10" s="2">
        <v>8</v>
      </c>
      <c r="G10" s="35">
        <v>32</v>
      </c>
      <c r="H10" s="35">
        <v>64</v>
      </c>
      <c r="I10" s="35">
        <v>128</v>
      </c>
      <c r="J10" s="2">
        <v>0</v>
      </c>
      <c r="K10" s="2">
        <v>0</v>
      </c>
      <c r="L10" s="2">
        <v>120</v>
      </c>
      <c r="M10" s="2">
        <v>540</v>
      </c>
      <c r="N10" s="35">
        <v>2430</v>
      </c>
      <c r="O10" s="35">
        <v>8510</v>
      </c>
      <c r="P10" s="35">
        <v>29790</v>
      </c>
      <c r="Q10" s="2">
        <v>0</v>
      </c>
      <c r="R10" s="2">
        <v>0</v>
      </c>
    </row>
    <row r="11" spans="1:18" ht="16.5" customHeight="1">
      <c r="A11" s="2">
        <v>10</v>
      </c>
      <c r="B11" s="23" t="str">
        <f t="shared" si="0"/>
        <v>[2,8,32,64,128,0,0]</v>
      </c>
      <c r="C11" s="23" t="str">
        <f t="shared" si="1"/>
        <v>[180,810,3650,12780,44730,0,0]</v>
      </c>
      <c r="D11" s="2"/>
      <c r="E11" s="2">
        <v>2</v>
      </c>
      <c r="F11" s="2">
        <v>8</v>
      </c>
      <c r="G11" s="35">
        <v>32</v>
      </c>
      <c r="H11" s="35">
        <v>64</v>
      </c>
      <c r="I11" s="35">
        <v>128</v>
      </c>
      <c r="J11" s="2">
        <v>0</v>
      </c>
      <c r="K11" s="2">
        <v>0</v>
      </c>
      <c r="L11" s="2">
        <v>180</v>
      </c>
      <c r="M11" s="2">
        <v>810</v>
      </c>
      <c r="N11" s="35">
        <v>3650</v>
      </c>
      <c r="O11" s="35">
        <v>12780</v>
      </c>
      <c r="P11" s="35">
        <v>44730</v>
      </c>
      <c r="Q11" s="2">
        <v>0</v>
      </c>
      <c r="R11" s="2">
        <v>0</v>
      </c>
    </row>
    <row r="12" spans="1:18" ht="16.5" customHeight="1">
      <c r="A12" s="2">
        <v>11</v>
      </c>
      <c r="B12" s="23" t="str">
        <f t="shared" si="0"/>
        <v>[2,8,32,64,128,0,0]</v>
      </c>
      <c r="C12" s="23" t="str">
        <f t="shared" si="1"/>
        <v>[240,1080,4860,17010,59540,0,0]</v>
      </c>
      <c r="D12" s="2"/>
      <c r="E12" s="2">
        <v>2</v>
      </c>
      <c r="F12" s="2">
        <v>8</v>
      </c>
      <c r="G12" s="35">
        <v>32</v>
      </c>
      <c r="H12" s="35">
        <v>64</v>
      </c>
      <c r="I12" s="35">
        <v>128</v>
      </c>
      <c r="J12" s="2">
        <v>0</v>
      </c>
      <c r="K12" s="2">
        <v>0</v>
      </c>
      <c r="L12" s="2">
        <v>240</v>
      </c>
      <c r="M12" s="35">
        <v>1080</v>
      </c>
      <c r="N12" s="35">
        <v>4860</v>
      </c>
      <c r="O12" s="35">
        <v>17010</v>
      </c>
      <c r="P12" s="35">
        <v>59540</v>
      </c>
      <c r="Q12" s="2">
        <v>0</v>
      </c>
      <c r="R12" s="2">
        <v>0</v>
      </c>
    </row>
    <row r="13" spans="1:18" ht="16.5" customHeight="1">
      <c r="A13" s="2">
        <v>12</v>
      </c>
      <c r="B13" s="23" t="str">
        <f t="shared" si="0"/>
        <v>[2,8,32,64,128,0,0]</v>
      </c>
      <c r="C13" s="23" t="str">
        <f t="shared" si="1"/>
        <v>[300,1350,6080,21280,74480,0,0]</v>
      </c>
      <c r="D13" s="2"/>
      <c r="E13" s="2">
        <v>2</v>
      </c>
      <c r="F13" s="2">
        <v>8</v>
      </c>
      <c r="G13" s="35">
        <v>32</v>
      </c>
      <c r="H13" s="35">
        <v>64</v>
      </c>
      <c r="I13" s="35">
        <v>128</v>
      </c>
      <c r="J13" s="2">
        <v>0</v>
      </c>
      <c r="K13" s="2">
        <v>0</v>
      </c>
      <c r="L13" s="2">
        <v>300</v>
      </c>
      <c r="M13" s="35">
        <v>1350</v>
      </c>
      <c r="N13" s="35">
        <v>6080</v>
      </c>
      <c r="O13" s="35">
        <v>21280</v>
      </c>
      <c r="P13" s="35">
        <v>74480</v>
      </c>
      <c r="Q13" s="2">
        <v>0</v>
      </c>
      <c r="R13" s="2">
        <v>0</v>
      </c>
    </row>
    <row r="14" spans="1:18" ht="16.5" customHeight="1">
      <c r="A14" s="2">
        <v>13</v>
      </c>
      <c r="B14" s="23" t="str">
        <f t="shared" si="0"/>
        <v>[2,8,32,64,128,0,0]</v>
      </c>
      <c r="C14" s="23" t="str">
        <f t="shared" si="1"/>
        <v>[360,1620,7290,25520,89320,0,0]</v>
      </c>
      <c r="D14" s="2"/>
      <c r="E14" s="2">
        <v>2</v>
      </c>
      <c r="F14" s="2">
        <v>8</v>
      </c>
      <c r="G14" s="35">
        <v>32</v>
      </c>
      <c r="H14" s="35">
        <v>64</v>
      </c>
      <c r="I14" s="35">
        <v>128</v>
      </c>
      <c r="J14" s="2">
        <v>0</v>
      </c>
      <c r="K14" s="2">
        <v>0</v>
      </c>
      <c r="L14" s="2">
        <v>360</v>
      </c>
      <c r="M14" s="35">
        <v>1620</v>
      </c>
      <c r="N14" s="35">
        <v>7290</v>
      </c>
      <c r="O14" s="35">
        <v>25520</v>
      </c>
      <c r="P14" s="35">
        <v>89320</v>
      </c>
      <c r="Q14" s="2">
        <v>0</v>
      </c>
      <c r="R14" s="2">
        <v>0</v>
      </c>
    </row>
    <row r="15" spans="1:18" ht="16.5" customHeight="1">
      <c r="A15" s="2">
        <v>14</v>
      </c>
      <c r="B15" s="23" t="str">
        <f t="shared" si="0"/>
        <v>[2,8,32,64,128,0,0]</v>
      </c>
      <c r="C15" s="23" t="str">
        <f t="shared" si="1"/>
        <v>[420,1890,8510,29790,104270,0,0]</v>
      </c>
      <c r="D15" s="2"/>
      <c r="E15" s="2">
        <v>2</v>
      </c>
      <c r="F15" s="2">
        <v>8</v>
      </c>
      <c r="G15" s="35">
        <v>32</v>
      </c>
      <c r="H15" s="35">
        <v>64</v>
      </c>
      <c r="I15" s="35">
        <v>128</v>
      </c>
      <c r="J15" s="2">
        <v>0</v>
      </c>
      <c r="K15" s="2">
        <v>0</v>
      </c>
      <c r="L15" s="2">
        <v>420</v>
      </c>
      <c r="M15" s="35">
        <v>1890</v>
      </c>
      <c r="N15" s="35">
        <v>8510</v>
      </c>
      <c r="O15" s="35">
        <v>29790</v>
      </c>
      <c r="P15" s="35">
        <v>104270</v>
      </c>
      <c r="Q15" s="2">
        <v>0</v>
      </c>
      <c r="R15" s="2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WeaponTranscend</vt:lpstr>
      <vt:lpstr>AccessoryTranscend</vt:lpstr>
      <vt:lpstr>TranscendMaterial</vt:lpstr>
      <vt:lpstr>Weapon</vt:lpstr>
      <vt:lpstr>Accessory</vt:lpstr>
      <vt:lpstr>Skill</vt:lpstr>
      <vt:lpstr>SkillDecomposition</vt:lpstr>
      <vt:lpstr>WeaponAwakening</vt:lpstr>
      <vt:lpstr>AccessoryAwakening</vt:lpstr>
      <vt:lpstr>SkillAwakening</vt:lpstr>
      <vt:lpstr>GrowthMaterial</vt:lpstr>
      <vt:lpstr>AwakeningMaterial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inchol cho</cp:lastModifiedBy>
  <dcterms:created xsi:type="dcterms:W3CDTF">2015-06-05T18:19:34Z</dcterms:created>
  <dcterms:modified xsi:type="dcterms:W3CDTF">2026-06-25T06:27:47Z</dcterms:modified>
</cp:coreProperties>
</file>